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2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2.xml" ContentType="application/vnd.openxmlformats-officedocument.themeOverrid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heme/themeOverride3.xml" ContentType="application/vnd.openxmlformats-officedocument.themeOverrid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heme/themeOverride4.xml" ContentType="application/vnd.openxmlformats-officedocument.themeOverrid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heme/themeOverride5.xml" ContentType="application/vnd.openxmlformats-officedocument.themeOverrid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estre\Downloads\"/>
    </mc:Choice>
  </mc:AlternateContent>
  <xr:revisionPtr revIDLastSave="0" documentId="13_ncr:1_{A914DB67-E8E8-41F7-96F0-EB51FA9FD619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040" tabRatio="0" firstSheet="5" activeTab="5" xr2:uid="{00000000-000D-0000-FFFF-FFFF00000000}"/>
  </bookViews>
  <sheets>
    <sheet name="Assets" sheetId="3" state="hidden" r:id="rId1"/>
    <sheet name="calc2" sheetId="4" state="hidden" r:id="rId2"/>
    <sheet name="TBs" sheetId="6" state="hidden" r:id="rId3"/>
    <sheet name="Base de Dados" sheetId="1" state="hidden" r:id="rId4"/>
    <sheet name="CALC1" sheetId="2" state="hidden" r:id="rId5"/>
    <sheet name="DASHBOARD" sheetId="5" r:id="rId6"/>
  </sheets>
  <definedNames>
    <definedName name="_xlnm._FilterDatabase" localSheetId="3" hidden="1">'Base de Dados'!$A$1:$M$101</definedName>
    <definedName name="SegmentaçãodeDados_Artista">#N/A</definedName>
  </definedNames>
  <calcPr calcId="191029"/>
  <pivotCaches>
    <pivotCache cacheId="77" r:id="rId7"/>
  </pivotCaches>
  <extLst>
    <ext xmlns:x14="http://schemas.microsoft.com/office/spreadsheetml/2009/9/main" uri="{BBE1A952-AA13-448e-AADC-164F8A28A991}">
      <x14:slicerCaches>
        <x14:slicerCache r:id="rId8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Y12" i="6" l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2" i="1"/>
  <c r="O34" i="6"/>
  <c r="L6" i="6"/>
</calcChain>
</file>

<file path=xl/sharedStrings.xml><?xml version="1.0" encoding="utf-8"?>
<sst xmlns="http://schemas.openxmlformats.org/spreadsheetml/2006/main" count="1075" uniqueCount="266">
  <si>
    <t>Nome</t>
  </si>
  <si>
    <t>Sexo</t>
  </si>
  <si>
    <t>Idade</t>
  </si>
  <si>
    <t>Estado</t>
  </si>
  <si>
    <t>Cidade</t>
  </si>
  <si>
    <t>Quantidade Vendida</t>
  </si>
  <si>
    <t>Preço Unitário (R$)</t>
  </si>
  <si>
    <t>Título do Vinil</t>
  </si>
  <si>
    <t>Artista</t>
  </si>
  <si>
    <t>Receita (R$)</t>
  </si>
  <si>
    <t>Faixa Etária</t>
  </si>
  <si>
    <t>Fernanda Silva</t>
  </si>
  <si>
    <t>Paula Santos</t>
  </si>
  <si>
    <t>Maria Rocha</t>
  </si>
  <si>
    <t>João Costa</t>
  </si>
  <si>
    <t>Renata Souza</t>
  </si>
  <si>
    <t>Carolina Rocha</t>
  </si>
  <si>
    <t>Sabrina Dias</t>
  </si>
  <si>
    <t>Lucas Barbosa</t>
  </si>
  <si>
    <t>Eduardo Rodrigues</t>
  </si>
  <si>
    <t>Vitor Almeida</t>
  </si>
  <si>
    <t>Gabriela Almeida</t>
  </si>
  <si>
    <t>Vanessa Nascimento</t>
  </si>
  <si>
    <t>Ariadne Barbosa</t>
  </si>
  <si>
    <t>Vitor Nascimento</t>
  </si>
  <si>
    <t>Rafael Martins</t>
  </si>
  <si>
    <t>Paula Moreira</t>
  </si>
  <si>
    <t>Gabriela Silva</t>
  </si>
  <si>
    <t>Paula Costa</t>
  </si>
  <si>
    <t>Patrícia Martins</t>
  </si>
  <si>
    <t>Camila Gomes</t>
  </si>
  <si>
    <t>Ariadne Silva</t>
  </si>
  <si>
    <t>Juliana Oliveira</t>
  </si>
  <si>
    <t>Rafael Fernandes</t>
  </si>
  <si>
    <t>Gustavo Lima</t>
  </si>
  <si>
    <t>Marta Carvalho</t>
  </si>
  <si>
    <t>João Oliveira</t>
  </si>
  <si>
    <t>Renata Oliveira</t>
  </si>
  <si>
    <t>Marcos Almeida</t>
  </si>
  <si>
    <t>Paula Gomes</t>
  </si>
  <si>
    <t>Ana Barbosa</t>
  </si>
  <si>
    <t>Vitor Carvalho</t>
  </si>
  <si>
    <t>Lucas Santos</t>
  </si>
  <si>
    <t>Bruno Ribeiro</t>
  </si>
  <si>
    <t>Thiago Nascimento</t>
  </si>
  <si>
    <t>Gabriela Fernandes</t>
  </si>
  <si>
    <t>Ana Santos</t>
  </si>
  <si>
    <t>Juliana Costa</t>
  </si>
  <si>
    <t>Beatriz Dias</t>
  </si>
  <si>
    <t>Marta Araújo</t>
  </si>
  <si>
    <t>Mariana Carvalho</t>
  </si>
  <si>
    <t>Lucas Oliveira</t>
  </si>
  <si>
    <t>Sabrina Lima</t>
  </si>
  <si>
    <t>Marta Silva</t>
  </si>
  <si>
    <t>Lucas Rocha</t>
  </si>
  <si>
    <t>Renata Rodrigues</t>
  </si>
  <si>
    <t>Paula Nascimento</t>
  </si>
  <si>
    <t>Bruno Carvalho</t>
  </si>
  <si>
    <t>Sabrina Santos</t>
  </si>
  <si>
    <t>Leonardo Moreira</t>
  </si>
  <si>
    <t>Leonardo Silva</t>
  </si>
  <si>
    <t>Eduardo Lima</t>
  </si>
  <si>
    <t>Larissa Oliveira</t>
  </si>
  <si>
    <t>Vanessa Rocha</t>
  </si>
  <si>
    <t>Carlos Souza</t>
  </si>
  <si>
    <t>Igor Souza</t>
  </si>
  <si>
    <t>Vitor Rodrigues</t>
  </si>
  <si>
    <t>Fernanda Lima</t>
  </si>
  <si>
    <t>Gustavo Ribeiro</t>
  </si>
  <si>
    <t>Mariana Barbosa</t>
  </si>
  <si>
    <t>Rodrigo Rodrigues</t>
  </si>
  <si>
    <t>André Martins</t>
  </si>
  <si>
    <t>Camila Silva</t>
  </si>
  <si>
    <t>Gustavo Barbosa</t>
  </si>
  <si>
    <t>Ricardo Costa</t>
  </si>
  <si>
    <t>Igor Ribeiro</t>
  </si>
  <si>
    <t>Marcos Carvalho</t>
  </si>
  <si>
    <t>Larissa Carvalho</t>
  </si>
  <si>
    <t>Felipe Rocha</t>
  </si>
  <si>
    <t>Leonardo Araújo</t>
  </si>
  <si>
    <t>Thiago Dias</t>
  </si>
  <si>
    <t>Larissa Ribeiro</t>
  </si>
  <si>
    <t>Rafael Moreira</t>
  </si>
  <si>
    <t>Paula Pereira</t>
  </si>
  <si>
    <t>Renata Barbosa</t>
  </si>
  <si>
    <t>Marcos Silva</t>
  </si>
  <si>
    <t>Carlos Silva</t>
  </si>
  <si>
    <t>Beatriz Pereira</t>
  </si>
  <si>
    <t>Bruno Moreira</t>
  </si>
  <si>
    <t>Mariana Souza</t>
  </si>
  <si>
    <t>Pedro Dias</t>
  </si>
  <si>
    <t>Mariana Moreira</t>
  </si>
  <si>
    <t>Sabrina Oliveira</t>
  </si>
  <si>
    <t>Ariadne Souza</t>
  </si>
  <si>
    <t>Marta Nascimento</t>
  </si>
  <si>
    <t>Larissa Araújo</t>
  </si>
  <si>
    <t>Thiago Araújo</t>
  </si>
  <si>
    <t>Eduardo Nascimento</t>
  </si>
  <si>
    <t>Gustavo Oliveira</t>
  </si>
  <si>
    <t>Marcos Fernandes</t>
  </si>
  <si>
    <t>Sabrina Fernandes</t>
  </si>
  <si>
    <t>Renata Gomes</t>
  </si>
  <si>
    <t>Vitor Costa</t>
  </si>
  <si>
    <t>Marta Moreira</t>
  </si>
  <si>
    <t>João Rocha</t>
  </si>
  <si>
    <t>Ana Nascimento</t>
  </si>
  <si>
    <t>Feminino</t>
  </si>
  <si>
    <t>Masculino</t>
  </si>
  <si>
    <t>RJ</t>
  </si>
  <si>
    <t>RS</t>
  </si>
  <si>
    <t>PR</t>
  </si>
  <si>
    <t>DF</t>
  </si>
  <si>
    <t>PE</t>
  </si>
  <si>
    <t>BA</t>
  </si>
  <si>
    <t>PA</t>
  </si>
  <si>
    <t>MG</t>
  </si>
  <si>
    <t>GO</t>
  </si>
  <si>
    <t>SC</t>
  </si>
  <si>
    <t>SP</t>
  </si>
  <si>
    <t>CE</t>
  </si>
  <si>
    <t>Duque de Caxias</t>
  </si>
  <si>
    <t>Caxias do Sul</t>
  </si>
  <si>
    <t>Santa Maria</t>
  </si>
  <si>
    <t>Maringá</t>
  </si>
  <si>
    <t>Brasília</t>
  </si>
  <si>
    <t>Recife</t>
  </si>
  <si>
    <t>Salvador</t>
  </si>
  <si>
    <t>Santarém</t>
  </si>
  <si>
    <t>Caruaru</t>
  </si>
  <si>
    <t>Porto Alegre</t>
  </si>
  <si>
    <t>Uberlândia</t>
  </si>
  <si>
    <t>Petrolina</t>
  </si>
  <si>
    <t>Ilhéus</t>
  </si>
  <si>
    <t>Catalão</t>
  </si>
  <si>
    <t>Marabá</t>
  </si>
  <si>
    <t>Florianópolis</t>
  </si>
  <si>
    <t>Feira de Santana</t>
  </si>
  <si>
    <t>Campinas</t>
  </si>
  <si>
    <t>Joinville</t>
  </si>
  <si>
    <t>Olinda</t>
  </si>
  <si>
    <t>Niterói</t>
  </si>
  <si>
    <t>Volta Redonda</t>
  </si>
  <si>
    <t>Sobral</t>
  </si>
  <si>
    <t>Pelotas</t>
  </si>
  <si>
    <t>Rio de Janeiro</t>
  </si>
  <si>
    <t>Curitiba</t>
  </si>
  <si>
    <t>Blumenau</t>
  </si>
  <si>
    <t>Juazeiro</t>
  </si>
  <si>
    <t>Londrina</t>
  </si>
  <si>
    <t>Petrópolis</t>
  </si>
  <si>
    <t>Juazeiro do Norte</t>
  </si>
  <si>
    <t>Belém</t>
  </si>
  <si>
    <t>Anápolis</t>
  </si>
  <si>
    <t>Goiânia</t>
  </si>
  <si>
    <t>Fortaleza</t>
  </si>
  <si>
    <t>São Paulo</t>
  </si>
  <si>
    <t>Chapecó</t>
  </si>
  <si>
    <t>Santos</t>
  </si>
  <si>
    <t>Cascavel</t>
  </si>
  <si>
    <t>Crato</t>
  </si>
  <si>
    <t>Led Zeppelin IV</t>
  </si>
  <si>
    <t>Rádio Pirata Ao Vivo</t>
  </si>
  <si>
    <t>Gita</t>
  </si>
  <si>
    <t>Let It Bleed</t>
  </si>
  <si>
    <t>OK Computer</t>
  </si>
  <si>
    <t>Ideologia</t>
  </si>
  <si>
    <t>Hybrid Theory (Deluxe)</t>
  </si>
  <si>
    <t>Appetite for Destruction</t>
  </si>
  <si>
    <t>Houses of the Holy</t>
  </si>
  <si>
    <t>Revolver</t>
  </si>
  <si>
    <t>Nevermind</t>
  </si>
  <si>
    <t>Wish You Were Here</t>
  </si>
  <si>
    <t>Cabeça Dinossauro</t>
  </si>
  <si>
    <t>A Night at the Opera</t>
  </si>
  <si>
    <t>Master of Puppets</t>
  </si>
  <si>
    <t>A Divina Comédia ou Ando Meio Desligado</t>
  </si>
  <si>
    <t>The Dark Side of the Moon</t>
  </si>
  <si>
    <t>The Wall</t>
  </si>
  <si>
    <t>Selvagem?</t>
  </si>
  <si>
    <t>O Papa É Pop</t>
  </si>
  <si>
    <t>Some Girls</t>
  </si>
  <si>
    <t>Fruto Proibido</t>
  </si>
  <si>
    <t>Abbey Road</t>
  </si>
  <si>
    <t>In Through the Out Door</t>
  </si>
  <si>
    <t>Back in Black</t>
  </si>
  <si>
    <t>Maior Abandonado</t>
  </si>
  <si>
    <t>Hybrid Theory</t>
  </si>
  <si>
    <t>Physical Graffiti</t>
  </si>
  <si>
    <t>Ten</t>
  </si>
  <si>
    <t>Dois</t>
  </si>
  <si>
    <t>Led Zeppelin</t>
  </si>
  <si>
    <t>RPM</t>
  </si>
  <si>
    <t>Raul Seixas</t>
  </si>
  <si>
    <t>The Rolling Stones</t>
  </si>
  <si>
    <t>Radiohead</t>
  </si>
  <si>
    <t>Cazuza</t>
  </si>
  <si>
    <t>Linkin Park</t>
  </si>
  <si>
    <t>Guns N' Roses</t>
  </si>
  <si>
    <t>The Beatles</t>
  </si>
  <si>
    <t>Nirvana</t>
  </si>
  <si>
    <t>Pink Floyd</t>
  </si>
  <si>
    <t>Titãs</t>
  </si>
  <si>
    <t>Queen</t>
  </si>
  <si>
    <t>Metallica</t>
  </si>
  <si>
    <t>Os Mutantes</t>
  </si>
  <si>
    <t>Os Paralamas do Sucesso</t>
  </si>
  <si>
    <t>Engenheiros do Hawaii</t>
  </si>
  <si>
    <t>Rita Lee</t>
  </si>
  <si>
    <t>AC/DC</t>
  </si>
  <si>
    <t>Barão Vermelho</t>
  </si>
  <si>
    <t>Pearl Jam</t>
  </si>
  <si>
    <t>Legião Urbana</t>
  </si>
  <si>
    <t>25-34</t>
  </si>
  <si>
    <t>35-44</t>
  </si>
  <si>
    <t>16-24</t>
  </si>
  <si>
    <t>45-54</t>
  </si>
  <si>
    <t>55+</t>
  </si>
  <si>
    <t>Dashboard de Vendas de Vinil - 2025</t>
  </si>
  <si>
    <t>Métricas</t>
  </si>
  <si>
    <t>Receita Total (R$):</t>
  </si>
  <si>
    <t>Unidades Vendidas:</t>
  </si>
  <si>
    <t>Registros (linhas):</t>
  </si>
  <si>
    <t>Data</t>
  </si>
  <si>
    <t>Mês</t>
  </si>
  <si>
    <t>Fevereiro</t>
  </si>
  <si>
    <t>Março</t>
  </si>
  <si>
    <t>Janeiro</t>
  </si>
  <si>
    <t>Rótulos de Linha</t>
  </si>
  <si>
    <t>Total Geral</t>
  </si>
  <si>
    <t>Soma de Receita (R$)</t>
  </si>
  <si>
    <t>Soma de Quantidade Vendida</t>
  </si>
  <si>
    <t>Descrição</t>
  </si>
  <si>
    <t>Valor Mensal (R$)</t>
  </si>
  <si>
    <t>Aluguel (Centro SP)</t>
  </si>
  <si>
    <t>Energia elétrica</t>
  </si>
  <si>
    <t>Internet e telefone</t>
  </si>
  <si>
    <t>Salário funcionários</t>
  </si>
  <si>
    <t>Marketing básico</t>
  </si>
  <si>
    <t>Total</t>
  </si>
  <si>
    <t>Custos</t>
  </si>
  <si>
    <t>Percentual sobre Receita (%)</t>
  </si>
  <si>
    <t>Embalagens e logística</t>
  </si>
  <si>
    <t>Comissão de vendedores</t>
  </si>
  <si>
    <t>Taxas de cartão</t>
  </si>
  <si>
    <t>Tipo de Imposto</t>
  </si>
  <si>
    <t>ICMS</t>
  </si>
  <si>
    <t>ISS</t>
  </si>
  <si>
    <t>Abril</t>
  </si>
  <si>
    <t>Maio</t>
  </si>
  <si>
    <t>Junho</t>
  </si>
  <si>
    <t>Julho</t>
  </si>
  <si>
    <t>Agosto</t>
  </si>
  <si>
    <t>Setembro</t>
  </si>
  <si>
    <t>Outubro</t>
  </si>
  <si>
    <t>mar</t>
  </si>
  <si>
    <t>fev</t>
  </si>
  <si>
    <t>jan</t>
  </si>
  <si>
    <t>abr</t>
  </si>
  <si>
    <t>mai</t>
  </si>
  <si>
    <t>jun</t>
  </si>
  <si>
    <t>jul</t>
  </si>
  <si>
    <t>ago</t>
  </si>
  <si>
    <t>set</t>
  </si>
  <si>
    <t>out</t>
  </si>
  <si>
    <t>Receita Líquida</t>
  </si>
  <si>
    <t>Soma de Receita Líquida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</si>
</sst>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\R\$\ #,##0.00"/>
    <numFmt numFmtId="172" formatCode="0.0%"/>
    <numFmt numFmtId="173" formatCode="&quot;R$&quot;\ #,##0"/>
    <numFmt numFmtId="177" formatCode="_-[$R$-416]\ * #,##0_-;\-[$R$-416]\ * #,##0_-;_-[$R$-416]\ * &quot;-&quot;??_-;_-@_-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 tint="-0.14999847407452621"/>
      <name val="Calibri"/>
      <family val="2"/>
      <scheme val="minor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37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0" fontId="3" fillId="0" borderId="0" xfId="0" applyFont="1" applyAlignment="1">
      <alignment horizontal="left"/>
    </xf>
    <xf numFmtId="0" fontId="1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2" borderId="0" xfId="0" applyFill="1"/>
    <xf numFmtId="0" fontId="0" fillId="3" borderId="0" xfId="0" applyFill="1"/>
    <xf numFmtId="0" fontId="0" fillId="2" borderId="0" xfId="0" applyFill="1" applyBorder="1"/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5" fillId="2" borderId="0" xfId="0" applyFont="1" applyFill="1"/>
    <xf numFmtId="0" fontId="0" fillId="3" borderId="0" xfId="0" applyFill="1" applyAlignment="1"/>
    <xf numFmtId="0" fontId="0" fillId="0" borderId="3" xfId="0" applyBorder="1" applyAlignment="1">
      <alignment vertical="center" wrapText="1"/>
    </xf>
    <xf numFmtId="3" fontId="0" fillId="0" borderId="6" xfId="0" applyNumberFormat="1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9" fontId="0" fillId="0" borderId="0" xfId="0" applyNumberFormat="1"/>
    <xf numFmtId="0" fontId="0" fillId="0" borderId="4" xfId="0" applyBorder="1" applyAlignment="1">
      <alignment vertical="center" wrapText="1"/>
    </xf>
    <xf numFmtId="172" fontId="0" fillId="0" borderId="5" xfId="1" applyNumberFormat="1" applyFont="1" applyBorder="1" applyAlignment="1">
      <alignment vertical="center" wrapText="1"/>
    </xf>
    <xf numFmtId="172" fontId="0" fillId="0" borderId="6" xfId="1" applyNumberFormat="1" applyFont="1" applyBorder="1" applyAlignment="1">
      <alignment vertical="center" wrapText="1"/>
    </xf>
    <xf numFmtId="3" fontId="1" fillId="6" borderId="8" xfId="0" applyNumberFormat="1" applyFont="1" applyFill="1" applyBorder="1" applyAlignment="1">
      <alignment vertical="center" wrapText="1"/>
    </xf>
    <xf numFmtId="0" fontId="1" fillId="6" borderId="7" xfId="0" applyFont="1" applyFill="1" applyBorder="1" applyAlignment="1">
      <alignment vertical="center" wrapText="1"/>
    </xf>
    <xf numFmtId="172" fontId="1" fillId="6" borderId="8" xfId="1" applyNumberFormat="1" applyFont="1" applyFill="1" applyBorder="1" applyAlignment="1">
      <alignment vertical="center" wrapText="1"/>
    </xf>
    <xf numFmtId="0" fontId="1" fillId="7" borderId="4" xfId="0" applyFont="1" applyFill="1" applyBorder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/>
    </xf>
    <xf numFmtId="173" fontId="0" fillId="0" borderId="0" xfId="0" applyNumberFormat="1"/>
    <xf numFmtId="173" fontId="1" fillId="4" borderId="2" xfId="0" applyNumberFormat="1" applyFont="1" applyFill="1" applyBorder="1"/>
    <xf numFmtId="0" fontId="1" fillId="0" borderId="9" xfId="0" applyFont="1" applyFill="1" applyBorder="1" applyAlignment="1">
      <alignment horizontal="center" vertical="top"/>
    </xf>
    <xf numFmtId="9" fontId="0" fillId="0" borderId="0" xfId="1" applyFont="1"/>
    <xf numFmtId="177" fontId="0" fillId="0" borderId="0" xfId="0" applyNumberFormat="1"/>
  </cellXfs>
  <cellStyles count="2">
    <cellStyle name="Normal" xfId="0" builtinId="0"/>
    <cellStyle name="Porcentagem" xfId="1" builtinId="5"/>
  </cellStyles>
  <dxfs count="2">
    <dxf>
      <font>
        <color theme="0"/>
      </font>
      <fill>
        <patternFill>
          <fgColor theme="0"/>
          <bgColor theme="5" tint="-0.499984740745262"/>
        </patternFill>
      </fill>
      <border diagonalUp="0" diagonalDown="0">
        <left/>
        <right/>
        <top/>
        <bottom style="thin">
          <color theme="5" tint="-0.499984740745262"/>
        </bottom>
        <vertical/>
        <horizontal/>
      </border>
    </dxf>
    <dxf>
      <font>
        <color theme="1"/>
      </font>
      <fill>
        <patternFill>
          <bgColor theme="5" tint="-0.499984740745262"/>
        </patternFill>
      </fill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</dxfs>
  <tableStyles count="1" defaultTableStyle="TableStyleMedium9" defaultPivotStyle="PivotStyleLight16">
    <tableStyle name="SlicerStyleLight2 2" pivot="0" table="0" count="10" xr9:uid="{4C708754-D541-4C49-A2C1-8DC88723F90E}">
      <tableStyleElement type="wholeTable" dxfId="1"/>
      <tableStyleElement type="headerRow" dxfId="0"/>
    </tableStyle>
  </tableStyle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theme="0"/>
          </font>
          <fill>
            <patternFill patternType="solid">
              <fgColor theme="5" tint="0.79998168889431442"/>
              <bgColor theme="5" tint="0.79998168889431442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rgb="FF000000"/>
          </font>
          <fill>
            <patternFill patternType="solid">
              <fgColor theme="5" tint="0.59999389629810485"/>
              <bgColor theme="1" tint="0.499984740745262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 diagonalUp="0" diagonalDown="0">
            <left/>
            <right/>
            <top/>
            <bottom/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2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[vendas_vinil_2025_dashboard.xlsx]TBs!Venda_por_albuns</c:name>
    <c:fmtId val="12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C0504D">
              <a:lumMod val="75000"/>
            </a:srgbClr>
          </a:solidFill>
          <a:ln w="1905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300" b="0" i="0" u="none" strike="noStrike" kern="1200" baseline="0">
                  <a:solidFill>
                    <a:schemeClr val="bg1">
                      <a:lumMod val="9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C0504D">
              <a:lumMod val="75000"/>
            </a:srgbClr>
          </a:solidFill>
          <a:ln w="19050">
            <a:noFill/>
          </a:ln>
          <a:effectLst/>
        </c:spPr>
      </c:pivotFmt>
      <c:pivotFmt>
        <c:idx val="5"/>
        <c:spPr>
          <a:solidFill>
            <a:srgbClr val="C0504D">
              <a:lumMod val="75000"/>
            </a:srgbClr>
          </a:solidFill>
          <a:ln w="1905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bg1">
                      <a:lumMod val="9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"/>
          <c:y val="0.16474178403755868"/>
          <c:w val="0.92775041050903118"/>
          <c:h val="0.7169564895937303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TBs!$B$3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C0504D">
                <a:lumMod val="75000"/>
              </a:srgbClr>
            </a:solidFill>
            <a:ln w="19050"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>
                        <a:lumMod val="9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TBs!$A$4:$A$9</c:f>
              <c:strCache>
                <c:ptCount val="5"/>
                <c:pt idx="0">
                  <c:v>Led Zeppelin IV</c:v>
                </c:pt>
                <c:pt idx="1">
                  <c:v>Nevermind</c:v>
                </c:pt>
                <c:pt idx="2">
                  <c:v>OK Computer</c:v>
                </c:pt>
                <c:pt idx="3">
                  <c:v>The Wall</c:v>
                </c:pt>
                <c:pt idx="4">
                  <c:v>Wish You Were Here</c:v>
                </c:pt>
              </c:strCache>
            </c:strRef>
          </c:cat>
          <c:val>
            <c:numRef>
              <c:f>TBs!$B$4:$B$9</c:f>
              <c:numCache>
                <c:formatCode>"R$"\ #,##0</c:formatCode>
                <c:ptCount val="5"/>
                <c:pt idx="0">
                  <c:v>4924.8</c:v>
                </c:pt>
                <c:pt idx="1">
                  <c:v>5950.8000000000011</c:v>
                </c:pt>
                <c:pt idx="2">
                  <c:v>4263.6000000000004</c:v>
                </c:pt>
                <c:pt idx="3">
                  <c:v>7235.1999999999989</c:v>
                </c:pt>
                <c:pt idx="4">
                  <c:v>4172.3999999999996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4C-48BA-A1CC-D152191094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25985584"/>
        <c:axId val="1025982704"/>
      </c:barChart>
      <c:catAx>
        <c:axId val="10259855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25982704"/>
        <c:crosses val="autoZero"/>
        <c:auto val="1"/>
        <c:lblAlgn val="ctr"/>
        <c:lblOffset val="100"/>
        <c:noMultiLvlLbl val="0"/>
      </c:catAx>
      <c:valAx>
        <c:axId val="1025982704"/>
        <c:scaling>
          <c:orientation val="minMax"/>
        </c:scaling>
        <c:delete val="1"/>
        <c:axPos val="l"/>
        <c:numFmt formatCode="&quot;R$&quot;\ #,##0" sourceLinked="1"/>
        <c:majorTickMark val="out"/>
        <c:minorTickMark val="none"/>
        <c:tickLblPos val="nextTo"/>
        <c:crossAx val="10259855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[vendas_vinil_2025_dashboard.xlsx]TBs!faixa_etaria</c:name>
    <c:fmtId val="18"/>
  </c:pivotSource>
  <c:chart>
    <c:autoTitleDeleted val="1"/>
    <c:pivotFmts>
      <c:pivotFmt>
        <c:idx val="0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</c:pivotFmt>
    </c:pivotFmts>
    <c:plotArea>
      <c:layout>
        <c:manualLayout>
          <c:layoutTarget val="inner"/>
          <c:xMode val="edge"/>
          <c:yMode val="edge"/>
          <c:x val="0.11062067779399687"/>
          <c:y val="8.0165447926435915E-2"/>
          <c:w val="0.88818822107668194"/>
          <c:h val="0.88219544846050868"/>
        </c:manualLayout>
      </c:layout>
      <c:areaChart>
        <c:grouping val="standard"/>
        <c:varyColors val="0"/>
        <c:ser>
          <c:idx val="0"/>
          <c:order val="0"/>
          <c:tx>
            <c:strRef>
              <c:f>TBs!$E$3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cat>
            <c:strRef>
              <c:f>TBs!$D$4:$D$9</c:f>
              <c:strCache>
                <c:ptCount val="5"/>
                <c:pt idx="0">
                  <c:v>16-24</c:v>
                </c:pt>
                <c:pt idx="1">
                  <c:v>25-34</c:v>
                </c:pt>
                <c:pt idx="2">
                  <c:v>35-44</c:v>
                </c:pt>
                <c:pt idx="3">
                  <c:v>45-54</c:v>
                </c:pt>
                <c:pt idx="4">
                  <c:v>55+</c:v>
                </c:pt>
              </c:strCache>
            </c:strRef>
          </c:cat>
          <c:val>
            <c:numRef>
              <c:f>TBs!$E$4:$E$9</c:f>
              <c:numCache>
                <c:formatCode>"R$"\ #,##0</c:formatCode>
                <c:ptCount val="5"/>
                <c:pt idx="0">
                  <c:v>8925</c:v>
                </c:pt>
                <c:pt idx="1">
                  <c:v>26875</c:v>
                </c:pt>
                <c:pt idx="2">
                  <c:v>31815</c:v>
                </c:pt>
                <c:pt idx="3">
                  <c:v>13085</c:v>
                </c:pt>
                <c:pt idx="4">
                  <c:v>4220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C5C-461E-B409-D6918C0F97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8170128"/>
        <c:axId val="278172048"/>
      </c:areaChart>
      <c:catAx>
        <c:axId val="278170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78172048"/>
        <c:crosses val="autoZero"/>
        <c:auto val="1"/>
        <c:lblAlgn val="ctr"/>
        <c:lblOffset val="100"/>
        <c:noMultiLvlLbl val="0"/>
      </c:catAx>
      <c:valAx>
        <c:axId val="278172048"/>
        <c:scaling>
          <c:orientation val="minMax"/>
        </c:scaling>
        <c:delete val="1"/>
        <c:axPos val="l"/>
        <c:numFmt formatCode="&quot;R$&quot;\ #,##0" sourceLinked="1"/>
        <c:majorTickMark val="none"/>
        <c:minorTickMark val="none"/>
        <c:tickLblPos val="nextTo"/>
        <c:crossAx val="2781701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bg1">
              <a:lumMod val="85000"/>
            </a:schemeClr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[vendas_vinil_2025_dashboard.xlsx]TBs!Tabela dinâmica3</c:name>
    <c:fmtId val="64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2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2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2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noFill/>
          </a:ln>
          <a:effectLst/>
        </c:spPr>
        <c:marker>
          <c:symbol val="none"/>
        </c:marker>
        <c:dLbl>
          <c:idx val="0"/>
          <c:numFmt formatCode="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bg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2">
              <a:lumMod val="60000"/>
              <a:lumOff val="40000"/>
            </a:schemeClr>
          </a:solidFill>
          <a:ln w="19050">
            <a:noFill/>
          </a:ln>
          <a:effectLst/>
        </c:spPr>
        <c:dLbl>
          <c:idx val="0"/>
          <c:layout>
            <c:manualLayout>
              <c:x val="0.15435902422257999"/>
              <c:y val="9.9290735783442927E-2"/>
            </c:manualLayout>
          </c:layout>
          <c:numFmt formatCode="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bg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2">
              <a:lumMod val="75000"/>
            </a:schemeClr>
          </a:solidFill>
          <a:ln w="19050">
            <a:noFill/>
          </a:ln>
          <a:effectLst/>
        </c:spPr>
        <c:dLbl>
          <c:idx val="0"/>
          <c:layout>
            <c:manualLayout>
              <c:x val="-0.10051285298214511"/>
              <c:y val="-0.16680843611618423"/>
            </c:manualLayout>
          </c:layout>
          <c:numFmt formatCode="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bg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6197996006280238"/>
          <c:y val="8.6392858035898884E-2"/>
          <c:w val="0.66892284568830152"/>
          <c:h val="0.66337127003691598"/>
        </c:manualLayout>
      </c:layout>
      <c:doughnutChart>
        <c:varyColors val="1"/>
        <c:ser>
          <c:idx val="0"/>
          <c:order val="0"/>
          <c:tx>
            <c:strRef>
              <c:f>TBs!$H$3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noFill/>
            </a:ln>
          </c:spPr>
          <c:dPt>
            <c:idx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B81-4691-AC97-1E1AD2323E2F}"/>
              </c:ext>
            </c:extLst>
          </c:dPt>
          <c:dPt>
            <c:idx val="1"/>
            <c:bubble3D val="0"/>
            <c:spPr>
              <a:solidFill>
                <a:schemeClr val="accent2">
                  <a:lumMod val="7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B81-4691-AC97-1E1AD2323E2F}"/>
              </c:ext>
            </c:extLst>
          </c:dPt>
          <c:dLbls>
            <c:dLbl>
              <c:idx val="0"/>
              <c:layout>
                <c:manualLayout>
                  <c:x val="0.15435902422257999"/>
                  <c:y val="9.9290735783442927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B81-4691-AC97-1E1AD2323E2F}"/>
                </c:ext>
              </c:extLst>
            </c:dLbl>
            <c:dLbl>
              <c:idx val="1"/>
              <c:layout>
                <c:manualLayout>
                  <c:x val="-0.10051285298214511"/>
                  <c:y val="-0.16680843611618423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B81-4691-AC97-1E1AD2323E2F}"/>
                </c:ext>
              </c:extLst>
            </c:dLbl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TBs!$G$4:$G$6</c:f>
              <c:strCache>
                <c:ptCount val="2"/>
                <c:pt idx="0">
                  <c:v>Feminino</c:v>
                </c:pt>
                <c:pt idx="1">
                  <c:v>Masculino</c:v>
                </c:pt>
              </c:strCache>
            </c:strRef>
          </c:cat>
          <c:val>
            <c:numRef>
              <c:f>TBs!$H$4:$H$6</c:f>
              <c:numCache>
                <c:formatCode>"R$"\ #,##0</c:formatCode>
                <c:ptCount val="2"/>
                <c:pt idx="0">
                  <c:v>50015</c:v>
                </c:pt>
                <c:pt idx="1">
                  <c:v>34905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B81-4691-AC97-1E1AD2323E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0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5239003509470145"/>
          <c:y val="0.77521703234845263"/>
          <c:w val="0.70191586125060468"/>
          <c:h val="0.1599831038543236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bg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[vendas_vinil_2025_dashboard.xlsx]TBs!receita_por_estado</c:name>
    <c:fmtId val="75"/>
  </c:pivotSource>
  <c:chart>
    <c:autoTitleDeleted val="1"/>
    <c:pivotFmts>
      <c:pivotFmt>
        <c:idx val="0"/>
        <c:spPr>
          <a:gradFill rotWithShape="1">
            <a:gsLst>
              <a:gs pos="0">
                <a:schemeClr val="accent1">
                  <a:tint val="50000"/>
                  <a:satMod val="300000"/>
                </a:schemeClr>
              </a:gs>
              <a:gs pos="35000">
                <a:schemeClr val="accent1">
                  <a:tint val="37000"/>
                  <a:satMod val="300000"/>
                </a:schemeClr>
              </a:gs>
              <a:gs pos="100000">
                <a:schemeClr val="accent1">
                  <a:tint val="15000"/>
                  <a:satMod val="350000"/>
                </a:schemeClr>
              </a:gs>
            </a:gsLst>
            <a:lin ang="16200000" scaled="1"/>
          </a:gradFill>
          <a:ln w="15875" cap="rnd" cmpd="sng" algn="ctr">
            <a:solidFill>
              <a:schemeClr val="accent6"/>
            </a:solidFill>
            <a:round/>
          </a:ln>
          <a:effectLst>
            <a:outerShdw blurRad="40000" dist="20000" dir="5400000" rotWithShape="0">
              <a:srgbClr val="000000">
                <a:alpha val="38000"/>
              </a:srgbClr>
            </a:outerShdw>
          </a:effectLst>
        </c:spPr>
        <c:marker>
          <c:symbol val="circle"/>
          <c:size val="4"/>
          <c:spPr>
            <a:solidFill>
              <a:schemeClr val="tx1"/>
            </a:soli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tint val="50000"/>
                  <a:satMod val="300000"/>
                </a:schemeClr>
              </a:gs>
              <a:gs pos="35000">
                <a:schemeClr val="accent1">
                  <a:tint val="37000"/>
                  <a:satMod val="300000"/>
                </a:schemeClr>
              </a:gs>
              <a:gs pos="100000">
                <a:schemeClr val="accent1">
                  <a:tint val="15000"/>
                  <a:satMod val="350000"/>
                </a:schemeClr>
              </a:gs>
            </a:gsLst>
            <a:lin ang="16200000" scaled="1"/>
          </a:gradFill>
          <a:ln w="15875" cap="rnd" cmpd="sng" algn="ctr">
            <a:solidFill>
              <a:schemeClr val="accent6"/>
            </a:solidFill>
            <a:round/>
          </a:ln>
          <a:effectLst>
            <a:outerShdw blurRad="40000" dist="20000" dir="5400000" rotWithShape="0">
              <a:srgbClr val="000000">
                <a:alpha val="38000"/>
              </a:srgbClr>
            </a:outerShdw>
          </a:effectLst>
        </c:spPr>
        <c:marker>
          <c:symbol val="circle"/>
          <c:size val="4"/>
          <c:spPr>
            <a:solidFill>
              <a:schemeClr val="tx1"/>
            </a:soli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15875" cap="rnd">
            <a:solidFill>
              <a:srgbClr val="F79646">
                <a:alpha val="99000"/>
              </a:srgbClr>
            </a:solidFill>
            <a:round/>
          </a:ln>
          <a:effectLst>
            <a:outerShdw blurRad="40000" dist="20000" dir="5400000" rotWithShape="0">
              <a:srgbClr val="000000">
                <a:alpha val="38000"/>
              </a:srgbClr>
            </a:outerShdw>
          </a:effectLst>
        </c:spPr>
        <c:marker>
          <c:symbol val="circle"/>
          <c:size val="4"/>
          <c:spPr>
            <a:solidFill>
              <a:srgbClr val="C0504D">
                <a:lumMod val="50000"/>
              </a:srgbClr>
            </a:solidFill>
            <a:ln w="9525" cap="flat" cmpd="sng" algn="ctr">
              <a:solidFill>
                <a:srgbClr val="C0504D">
                  <a:lumMod val="50000"/>
                </a:srgb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5891763957773442"/>
          <c:y val="4.918570761904735E-2"/>
          <c:w val="0.59362301848885057"/>
          <c:h val="0.81793950405570381"/>
        </c:manualLayout>
      </c:layout>
      <c:radarChart>
        <c:radarStyle val="marker"/>
        <c:varyColors val="0"/>
        <c:ser>
          <c:idx val="0"/>
          <c:order val="0"/>
          <c:tx>
            <c:strRef>
              <c:f>TBs!$Q$3</c:f>
              <c:strCache>
                <c:ptCount val="1"/>
                <c:pt idx="0">
                  <c:v>Total</c:v>
                </c:pt>
              </c:strCache>
            </c:strRef>
          </c:tx>
          <c:spPr>
            <a:ln w="15875" cap="rnd">
              <a:solidFill>
                <a:srgbClr val="F79646">
                  <a:alpha val="99000"/>
                </a:srgb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circle"/>
            <c:size val="4"/>
            <c:spPr>
              <a:solidFill>
                <a:srgbClr val="C0504D">
                  <a:lumMod val="50000"/>
                </a:srgbClr>
              </a:solidFill>
              <a:ln w="9525" cap="flat" cmpd="sng" algn="ctr">
                <a:solidFill>
                  <a:srgbClr val="C0504D">
                    <a:lumMod val="50000"/>
                  </a:srgb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marker>
          <c:cat>
            <c:strRef>
              <c:f>TBs!$P$4:$P$16</c:f>
              <c:strCache>
                <c:ptCount val="12"/>
                <c:pt idx="0">
                  <c:v>BA</c:v>
                </c:pt>
                <c:pt idx="1">
                  <c:v>CE</c:v>
                </c:pt>
                <c:pt idx="2">
                  <c:v>DF</c:v>
                </c:pt>
                <c:pt idx="3">
                  <c:v>GO</c:v>
                </c:pt>
                <c:pt idx="4">
                  <c:v>MG</c:v>
                </c:pt>
                <c:pt idx="5">
                  <c:v>PA</c:v>
                </c:pt>
                <c:pt idx="6">
                  <c:v>PE</c:v>
                </c:pt>
                <c:pt idx="7">
                  <c:v>PR</c:v>
                </c:pt>
                <c:pt idx="8">
                  <c:v>RJ</c:v>
                </c:pt>
                <c:pt idx="9">
                  <c:v>RS</c:v>
                </c:pt>
                <c:pt idx="10">
                  <c:v>SC</c:v>
                </c:pt>
                <c:pt idx="11">
                  <c:v>SP</c:v>
                </c:pt>
              </c:strCache>
            </c:strRef>
          </c:cat>
          <c:val>
            <c:numRef>
              <c:f>TBs!$Q$4:$Q$16</c:f>
              <c:numCache>
                <c:formatCode>General</c:formatCode>
                <c:ptCount val="12"/>
                <c:pt idx="0">
                  <c:v>9395</c:v>
                </c:pt>
                <c:pt idx="1">
                  <c:v>7500</c:v>
                </c:pt>
                <c:pt idx="2">
                  <c:v>5940</c:v>
                </c:pt>
                <c:pt idx="3">
                  <c:v>6110</c:v>
                </c:pt>
                <c:pt idx="4">
                  <c:v>4585</c:v>
                </c:pt>
                <c:pt idx="5">
                  <c:v>4305</c:v>
                </c:pt>
                <c:pt idx="6">
                  <c:v>14660</c:v>
                </c:pt>
                <c:pt idx="7">
                  <c:v>6165</c:v>
                </c:pt>
                <c:pt idx="8">
                  <c:v>8710</c:v>
                </c:pt>
                <c:pt idx="9">
                  <c:v>7305</c:v>
                </c:pt>
                <c:pt idx="10">
                  <c:v>7160</c:v>
                </c:pt>
                <c:pt idx="11">
                  <c:v>3085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F5-4148-BFEE-5232B20541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8063136"/>
        <c:axId val="338068896"/>
      </c:radarChart>
      <c:catAx>
        <c:axId val="338063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8068896"/>
        <c:crosses val="autoZero"/>
        <c:auto val="1"/>
        <c:lblAlgn val="ctr"/>
        <c:lblOffset val="100"/>
        <c:noMultiLvlLbl val="0"/>
      </c:catAx>
      <c:valAx>
        <c:axId val="33806889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3380631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[vendas_vinil_2025_dashboard.xlsx]TBs!mes_venda</c:name>
    <c:fmtId val="92"/>
  </c:pivotSource>
  <c:chart>
    <c:autoTitleDeleted val="0"/>
    <c:pivotFmts>
      <c:pivotFmt>
        <c:idx val="0"/>
        <c:spPr>
          <a:solidFill>
            <a:schemeClr val="accent2">
              <a:lumMod val="50000"/>
            </a:schemeClr>
          </a:solidFill>
          <a:ln w="9525" cap="flat" cmpd="sng" algn="ctr">
            <a:solidFill>
              <a:schemeClr val="accent2">
                <a:lumMod val="50000"/>
              </a:schemeClr>
            </a:solidFill>
            <a:round/>
          </a:ln>
          <a:effectLst>
            <a:outerShdw blurRad="40000" dist="20000" dir="5400000" rotWithShape="0">
              <a:srgbClr val="000000">
                <a:alpha val="38000"/>
              </a:srgbClr>
            </a:outerShdw>
          </a:effectLst>
        </c:spPr>
        <c:marker>
          <c:symbol val="circle"/>
          <c:size val="5"/>
          <c:spPr>
            <a:gradFill rotWithShape="1">
              <a:gsLst>
                <a:gs pos="0">
                  <a:schemeClr val="accent1">
                    <a:tint val="50000"/>
                    <a:satMod val="300000"/>
                  </a:schemeClr>
                </a:gs>
                <a:gs pos="35000">
                  <a:schemeClr val="accent1">
                    <a:tint val="37000"/>
                    <a:satMod val="300000"/>
                  </a:schemeClr>
                </a:gs>
                <a:gs pos="100000">
                  <a:schemeClr val="accent1">
                    <a:tint val="15000"/>
                    <a:satMod val="350000"/>
                  </a:schemeClr>
                </a:gs>
              </a:gsLst>
              <a:lin ang="16200000" scaled="1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tint val="50000"/>
                  <a:satMod val="300000"/>
                </a:schemeClr>
              </a:gs>
              <a:gs pos="35000">
                <a:schemeClr val="accent1">
                  <a:tint val="37000"/>
                  <a:satMod val="300000"/>
                </a:schemeClr>
              </a:gs>
              <a:gs pos="100000">
                <a:schemeClr val="accent1">
                  <a:tint val="15000"/>
                  <a:satMod val="350000"/>
                </a:schemeClr>
              </a:gs>
            </a:gsLst>
            <a:lin ang="16200000" scaled="1"/>
          </a:gradFill>
          <a:ln w="15875" cap="rnd" cmpd="sng" algn="ctr">
            <a:solidFill>
              <a:schemeClr val="accent6"/>
            </a:solidFill>
            <a:round/>
          </a:ln>
          <a:effectLst>
            <a:outerShdw blurRad="40000" dist="20000" dir="5400000" rotWithShape="0">
              <a:srgbClr val="000000">
                <a:alpha val="38000"/>
              </a:srgbClr>
            </a:outerShdw>
          </a:effectLst>
        </c:spPr>
        <c:marker>
          <c:symbol val="circle"/>
          <c:size val="5"/>
          <c:spPr>
            <a:gradFill rotWithShape="1">
              <a:gsLst>
                <a:gs pos="0">
                  <a:schemeClr val="accent2">
                    <a:tint val="50000"/>
                    <a:satMod val="300000"/>
                  </a:schemeClr>
                </a:gs>
                <a:gs pos="35000">
                  <a:schemeClr val="accent2">
                    <a:tint val="37000"/>
                    <a:satMod val="300000"/>
                  </a:schemeClr>
                </a:gs>
                <a:gs pos="100000">
                  <a:schemeClr val="accent2">
                    <a:tint val="15000"/>
                    <a:satMod val="350000"/>
                  </a:schemeClr>
                </a:gs>
              </a:gsLst>
              <a:lin ang="16200000" scaled="1"/>
            </a:gradFill>
            <a:ln w="9525" cap="flat" cmpd="sng" algn="ctr">
              <a:solidFill>
                <a:schemeClr val="accent2">
                  <a:shade val="95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>
              <a:lumMod val="50000"/>
            </a:schemeClr>
          </a:solidFill>
          <a:ln w="9525" cap="flat" cmpd="sng" algn="ctr">
            <a:solidFill>
              <a:schemeClr val="accent2">
                <a:lumMod val="50000"/>
              </a:schemeClr>
            </a:solidFill>
            <a:round/>
          </a:ln>
          <a:effectLst>
            <a:outerShdw blurRad="40000" dist="20000" dir="5400000" rotWithShape="0">
              <a:srgbClr val="000000">
                <a:alpha val="38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tint val="50000"/>
                  <a:satMod val="300000"/>
                </a:schemeClr>
              </a:gs>
              <a:gs pos="35000">
                <a:schemeClr val="accent1">
                  <a:tint val="37000"/>
                  <a:satMod val="300000"/>
                </a:schemeClr>
              </a:gs>
              <a:gs pos="100000">
                <a:schemeClr val="accent1">
                  <a:tint val="15000"/>
                  <a:satMod val="350000"/>
                </a:schemeClr>
              </a:gs>
            </a:gsLst>
            <a:lin ang="16200000" scaled="1"/>
          </a:gradFill>
          <a:ln w="15875" cap="rnd" cmpd="sng" algn="ctr">
            <a:solidFill>
              <a:schemeClr val="accent6"/>
            </a:solidFill>
            <a:round/>
          </a:ln>
          <a:effectLst>
            <a:outerShdw blurRad="40000" dist="20000" dir="5400000" rotWithShape="0">
              <a:srgbClr val="000000">
                <a:alpha val="38000"/>
              </a:srgbClr>
            </a:outerShdw>
          </a:effectLst>
        </c:spPr>
        <c:marker>
          <c:symbol val="circle"/>
          <c:size val="5"/>
          <c:spPr>
            <a:gradFill rotWithShape="1">
              <a:gsLst>
                <a:gs pos="0">
                  <a:schemeClr val="accent2">
                    <a:tint val="50000"/>
                    <a:satMod val="300000"/>
                  </a:schemeClr>
                </a:gs>
                <a:gs pos="35000">
                  <a:schemeClr val="accent2">
                    <a:tint val="37000"/>
                    <a:satMod val="300000"/>
                  </a:schemeClr>
                </a:gs>
                <a:gs pos="100000">
                  <a:schemeClr val="accent2">
                    <a:tint val="15000"/>
                    <a:satMod val="350000"/>
                  </a:schemeClr>
                </a:gs>
              </a:gsLst>
              <a:lin ang="16200000" scaled="1"/>
            </a:gradFill>
            <a:ln w="9525" cap="flat" cmpd="sng" algn="ctr">
              <a:solidFill>
                <a:schemeClr val="accent2">
                  <a:shade val="95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C0504D">
              <a:lumMod val="75000"/>
            </a:srgbClr>
          </a:solidFill>
          <a:ln w="9525" cap="flat" cmpd="sng" algn="ctr">
            <a:solidFill>
              <a:schemeClr val="accent2">
                <a:lumMod val="50000"/>
              </a:schemeClr>
            </a:solidFill>
            <a:round/>
          </a:ln>
          <a:effectLst>
            <a:outerShdw blurRad="40000" dist="20000" dir="5400000" rotWithShape="0">
              <a:srgbClr val="000000">
                <a:alpha val="38000"/>
              </a:srgbClr>
            </a:outerShdw>
          </a:effectLst>
        </c:spPr>
        <c:marker>
          <c:symbol val="none"/>
        </c:marker>
        <c:dLbl>
          <c:idx val="0"/>
          <c:numFmt formatCode="&quot;R$&quot;\ 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bg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15875" cap="rnd">
            <a:solidFill>
              <a:schemeClr val="accent6"/>
            </a:solidFill>
            <a:round/>
          </a:ln>
          <a:effectLst>
            <a:outerShdw blurRad="40000" dist="20000" dir="5400000" rotWithShape="0">
              <a:srgbClr val="000000">
                <a:alpha val="38000"/>
              </a:srgbClr>
            </a:outerShdw>
          </a:effectLst>
        </c:spPr>
        <c:marker>
          <c:symbol val="circle"/>
          <c:size val="5"/>
          <c:spPr>
            <a:gradFill rotWithShape="1">
              <a:gsLst>
                <a:gs pos="0">
                  <a:schemeClr val="accent2">
                    <a:tint val="50000"/>
                    <a:satMod val="300000"/>
                  </a:schemeClr>
                </a:gs>
                <a:gs pos="35000">
                  <a:schemeClr val="accent2">
                    <a:tint val="37000"/>
                    <a:satMod val="300000"/>
                  </a:schemeClr>
                </a:gs>
                <a:gs pos="100000">
                  <a:schemeClr val="accent2">
                    <a:tint val="15000"/>
                    <a:satMod val="350000"/>
                  </a:schemeClr>
                </a:gs>
              </a:gsLst>
              <a:lin ang="16200000" scaled="1"/>
            </a:gradFill>
            <a:ln w="9525" cap="flat" cmpd="sng" algn="ctr">
              <a:solidFill>
                <a:schemeClr val="accent2">
                  <a:shade val="95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8.2864809405295031E-2"/>
          <c:y val="3.2255958478733991E-2"/>
          <c:w val="0.80650694761211661"/>
          <c:h val="0.733533637528112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TBs!$T$3</c:f>
              <c:strCache>
                <c:ptCount val="1"/>
                <c:pt idx="0">
                  <c:v>Soma de Receita (R$)</c:v>
                </c:pt>
              </c:strCache>
            </c:strRef>
          </c:tx>
          <c:spPr>
            <a:solidFill>
              <a:srgbClr val="C0504D">
                <a:lumMod val="75000"/>
              </a:srgbClr>
            </a:solidFill>
            <a:ln w="9525" cap="flat" cmpd="sng" algn="ctr">
              <a:solidFill>
                <a:schemeClr val="accent2">
                  <a:lumMod val="50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invertIfNegative val="0"/>
          <c:dLbls>
            <c:numFmt formatCode="&quot;R$&quot;\ 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TBs!$S$4:$S$14</c:f>
              <c:strCache>
                <c:ptCount val="10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</c:strCache>
            </c:strRef>
          </c:cat>
          <c:val>
            <c:numRef>
              <c:f>TBs!$T$4:$T$14</c:f>
              <c:numCache>
                <c:formatCode>General</c:formatCode>
                <c:ptCount val="10"/>
                <c:pt idx="0">
                  <c:v>11400</c:v>
                </c:pt>
                <c:pt idx="1">
                  <c:v>14210</c:v>
                </c:pt>
                <c:pt idx="2">
                  <c:v>11120</c:v>
                </c:pt>
                <c:pt idx="3">
                  <c:v>7850</c:v>
                </c:pt>
                <c:pt idx="4">
                  <c:v>8705</c:v>
                </c:pt>
                <c:pt idx="5">
                  <c:v>11570</c:v>
                </c:pt>
                <c:pt idx="6">
                  <c:v>4475</c:v>
                </c:pt>
                <c:pt idx="7">
                  <c:v>3445</c:v>
                </c:pt>
                <c:pt idx="8">
                  <c:v>3605</c:v>
                </c:pt>
                <c:pt idx="9">
                  <c:v>8540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40-418E-B4DF-8F05024CAB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75958272"/>
        <c:axId val="375959232"/>
      </c:barChart>
      <c:lineChart>
        <c:grouping val="standard"/>
        <c:varyColors val="0"/>
        <c:ser>
          <c:idx val="1"/>
          <c:order val="1"/>
          <c:tx>
            <c:strRef>
              <c:f>TBs!$U$3</c:f>
              <c:strCache>
                <c:ptCount val="1"/>
                <c:pt idx="0">
                  <c:v>Soma de Quantidade Vendida</c:v>
                </c:pt>
              </c:strCache>
            </c:strRef>
          </c:tx>
          <c:spPr>
            <a:ln w="15875" cap="rnd">
              <a:solidFill>
                <a:schemeClr val="accent6"/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2">
                      <a:tint val="50000"/>
                      <a:satMod val="300000"/>
                    </a:schemeClr>
                  </a:gs>
                  <a:gs pos="35000">
                    <a:schemeClr val="accent2">
                      <a:tint val="37000"/>
                      <a:satMod val="300000"/>
                    </a:schemeClr>
                  </a:gs>
                  <a:gs pos="100000">
                    <a:schemeClr val="accent2"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marker>
          <c:cat>
            <c:strRef>
              <c:f>TBs!$S$4:$S$14</c:f>
              <c:strCache>
                <c:ptCount val="10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</c:strCache>
            </c:strRef>
          </c:cat>
          <c:val>
            <c:numRef>
              <c:f>TBs!$U$4:$U$14</c:f>
              <c:numCache>
                <c:formatCode>General</c:formatCode>
                <c:ptCount val="10"/>
                <c:pt idx="0">
                  <c:v>47</c:v>
                </c:pt>
                <c:pt idx="1">
                  <c:v>56</c:v>
                </c:pt>
                <c:pt idx="2">
                  <c:v>42</c:v>
                </c:pt>
                <c:pt idx="3">
                  <c:v>28</c:v>
                </c:pt>
                <c:pt idx="4">
                  <c:v>33</c:v>
                </c:pt>
                <c:pt idx="5">
                  <c:v>50</c:v>
                </c:pt>
                <c:pt idx="6">
                  <c:v>16</c:v>
                </c:pt>
                <c:pt idx="7">
                  <c:v>11</c:v>
                </c:pt>
                <c:pt idx="8">
                  <c:v>14</c:v>
                </c:pt>
                <c:pt idx="9">
                  <c:v>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340-418E-B4DF-8F05024CAB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5977472"/>
        <c:axId val="375973152"/>
      </c:lineChart>
      <c:catAx>
        <c:axId val="375958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75959232"/>
        <c:crosses val="autoZero"/>
        <c:auto val="1"/>
        <c:lblAlgn val="ctr"/>
        <c:lblOffset val="100"/>
        <c:noMultiLvlLbl val="0"/>
      </c:catAx>
      <c:valAx>
        <c:axId val="3759592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75958272"/>
        <c:crosses val="autoZero"/>
        <c:crossBetween val="between"/>
      </c:valAx>
      <c:valAx>
        <c:axId val="375973152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75977472"/>
        <c:crosses val="max"/>
        <c:crossBetween val="between"/>
      </c:valAx>
      <c:catAx>
        <c:axId val="37597747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37597315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6917858620872156"/>
          <c:y val="0.87290641000267644"/>
          <c:w val="0.62630304159004613"/>
          <c:h val="0.1262028010716232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bg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lrMapOvr bg1="lt1" tx1="dk1" bg2="lt2" tx2="dk2" accent1="accent1" accent2="accent2" accent3="accent3" accent4="accent4" accent5="accent5" accent6="accent6" hlink="hlink" folHlink="folHlink"/>
  <c:pivotSource>
    <c:name>[vendas_vinil_2025_dashboard.xlsx]TBs!receitaliq_por_artista</c:name>
    <c:fmtId val="101"/>
  </c:pivotSource>
  <c:chart>
    <c:autoTitleDeleted val="1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C0504D">
              <a:lumMod val="75000"/>
            </a:srgb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bg1">
                      <a:lumMod val="9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C0504D">
              <a:lumMod val="50000"/>
            </a:srgbClr>
          </a:solidFill>
          <a:ln>
            <a:noFill/>
          </a:ln>
          <a:effectLst/>
        </c:spPr>
      </c:pivotFmt>
      <c:pivotFmt>
        <c:idx val="4"/>
        <c:spPr>
          <a:solidFill>
            <a:srgbClr val="C0504D">
              <a:lumMod val="60000"/>
              <a:lumOff val="40000"/>
            </a:srgbClr>
          </a:solidFill>
          <a:ln>
            <a:noFill/>
          </a:ln>
          <a:effectLst/>
        </c:spPr>
      </c:pivotFmt>
      <c:pivotFmt>
        <c:idx val="5"/>
        <c:spPr>
          <a:solidFill>
            <a:srgbClr val="C0504D">
              <a:lumMod val="40000"/>
              <a:lumOff val="60000"/>
            </a:srgbClr>
          </a:solidFill>
          <a:ln>
            <a:noFill/>
          </a:ln>
          <a:effectLst/>
        </c:spPr>
      </c:pivotFmt>
      <c:pivotFmt>
        <c:idx val="6"/>
        <c:spPr>
          <a:solidFill>
            <a:srgbClr val="C0504D">
              <a:lumMod val="20000"/>
              <a:lumOff val="80000"/>
            </a:srgbClr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17746088036705335"/>
          <c:y val="8.602435112277633E-2"/>
          <c:w val="0.72882130358705166"/>
          <c:h val="0.8065762613006707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TBs!$AA$3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C0504D">
                <a:lumMod val="75000"/>
              </a:srgb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C0504D">
                  <a:lumMod val="20000"/>
                  <a:lumOff val="80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065C-4EB0-8B86-3DCF3375F530}"/>
              </c:ext>
            </c:extLst>
          </c:dPt>
          <c:dPt>
            <c:idx val="1"/>
            <c:invertIfNegative val="0"/>
            <c:bubble3D val="0"/>
            <c:spPr>
              <a:solidFill>
                <a:srgbClr val="C0504D">
                  <a:lumMod val="40000"/>
                  <a:lumOff val="60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065C-4EB0-8B86-3DCF3375F530}"/>
              </c:ext>
            </c:extLst>
          </c:dPt>
          <c:dPt>
            <c:idx val="2"/>
            <c:invertIfNegative val="0"/>
            <c:bubble3D val="0"/>
            <c:spPr>
              <a:solidFill>
                <a:srgbClr val="C0504D">
                  <a:lumMod val="60000"/>
                  <a:lumOff val="40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065C-4EB0-8B86-3DCF3375F530}"/>
              </c:ext>
            </c:extLst>
          </c:dPt>
          <c:dPt>
            <c:idx val="3"/>
            <c:invertIfNegative val="0"/>
            <c:bubble3D val="0"/>
            <c:spPr>
              <a:solidFill>
                <a:srgbClr val="C0504D">
                  <a:lumMod val="50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065C-4EB0-8B86-3DCF3375F530}"/>
              </c:ext>
            </c:extLst>
          </c:dPt>
          <c:dPt>
            <c:idx val="4"/>
            <c:invertIfNegative val="0"/>
            <c:bubble3D val="0"/>
            <c:spPr>
              <a:solidFill>
                <a:srgbClr val="C0504D">
                  <a:lumMod val="50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65C-4EB0-8B86-3DCF3375F53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>
                        <a:lumMod val="9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TBs!$Z$4:$Z$9</c:f>
              <c:strCache>
                <c:ptCount val="5"/>
                <c:pt idx="0">
                  <c:v>Metallica</c:v>
                </c:pt>
                <c:pt idx="1">
                  <c:v>Radiohead</c:v>
                </c:pt>
                <c:pt idx="2">
                  <c:v>Nirvana</c:v>
                </c:pt>
                <c:pt idx="3">
                  <c:v>Led Zeppelin</c:v>
                </c:pt>
                <c:pt idx="4">
                  <c:v>Pink Floyd</c:v>
                </c:pt>
              </c:strCache>
            </c:strRef>
          </c:cat>
          <c:val>
            <c:numRef>
              <c:f>TBs!$AA$4:$AA$9</c:f>
              <c:numCache>
                <c:formatCode>"R$"\ #,##0</c:formatCode>
                <c:ptCount val="5"/>
                <c:pt idx="0">
                  <c:v>4134.3999999999996</c:v>
                </c:pt>
                <c:pt idx="1">
                  <c:v>4263.6000000000004</c:v>
                </c:pt>
                <c:pt idx="2">
                  <c:v>5950.8000000000011</c:v>
                </c:pt>
                <c:pt idx="3">
                  <c:v>8196.6</c:v>
                </c:pt>
                <c:pt idx="4">
                  <c:v>13687.600000000002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5C-4EB0-8B86-3DCF3375F53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9"/>
        <c:axId val="338477760"/>
        <c:axId val="338474880"/>
      </c:barChart>
      <c:catAx>
        <c:axId val="3384777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100" b="0" i="0" u="none" strike="noStrike" kern="1200" baseline="0">
                <a:solidFill>
                  <a:schemeClr val="bg1">
                    <a:lumMod val="9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8474880"/>
        <c:crosses val="autoZero"/>
        <c:auto val="1"/>
        <c:lblAlgn val="ctr"/>
        <c:lblOffset val="100"/>
        <c:noMultiLvlLbl val="0"/>
      </c:catAx>
      <c:valAx>
        <c:axId val="338474880"/>
        <c:scaling>
          <c:orientation val="minMax"/>
        </c:scaling>
        <c:delete val="0"/>
        <c:axPos val="b"/>
        <c:numFmt formatCode="&quot;R$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8477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50000"/>
            <a:lumOff val="50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4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25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jpeg"/><Relationship Id="rId4" Type="http://schemas.openxmlformats.org/officeDocument/2006/relationships/image" Target="../media/image4.jp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.xml"/><Relationship Id="rId13" Type="http://schemas.openxmlformats.org/officeDocument/2006/relationships/chart" Target="../charts/chart6.xml"/><Relationship Id="rId3" Type="http://schemas.openxmlformats.org/officeDocument/2006/relationships/image" Target="../media/image8.jpeg"/><Relationship Id="rId7" Type="http://schemas.openxmlformats.org/officeDocument/2006/relationships/image" Target="../media/image3.jpg"/><Relationship Id="rId12" Type="http://schemas.openxmlformats.org/officeDocument/2006/relationships/chart" Target="../charts/chart5.xml"/><Relationship Id="rId2" Type="http://schemas.openxmlformats.org/officeDocument/2006/relationships/image" Target="../media/image7.png"/><Relationship Id="rId1" Type="http://schemas.openxmlformats.org/officeDocument/2006/relationships/image" Target="../media/image6.png"/><Relationship Id="rId6" Type="http://schemas.openxmlformats.org/officeDocument/2006/relationships/image" Target="../media/image10.png"/><Relationship Id="rId11" Type="http://schemas.openxmlformats.org/officeDocument/2006/relationships/chart" Target="../charts/chart4.xml"/><Relationship Id="rId5" Type="http://schemas.openxmlformats.org/officeDocument/2006/relationships/image" Target="../media/image4.jpg"/><Relationship Id="rId10" Type="http://schemas.openxmlformats.org/officeDocument/2006/relationships/chart" Target="../charts/chart3.xml"/><Relationship Id="rId4" Type="http://schemas.openxmlformats.org/officeDocument/2006/relationships/image" Target="../media/image9.png"/><Relationship Id="rId9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228600</xdr:colOff>
      <xdr:row>0</xdr:row>
      <xdr:rowOff>47625</xdr:rowOff>
    </xdr:from>
    <xdr:to>
      <xdr:col>3</xdr:col>
      <xdr:colOff>238124</xdr:colOff>
      <xdr:row>9</xdr:row>
      <xdr:rowOff>171449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6D214E64-17C1-D7CA-D319-C9C54F9E34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47625"/>
          <a:ext cx="1838324" cy="1838324"/>
        </a:xfrm>
        <a:prstGeom prst="rect">
          <a:avLst/>
        </a:prstGeom>
      </xdr:spPr>
    </xdr:pic>
    <xdr:clientData/>
  </xdr:twoCellAnchor>
  <xdr:twoCellAnchor editAs="oneCell">
    <xdr:from>
      <xdr:col>3</xdr:col>
      <xdr:colOff>488674</xdr:colOff>
      <xdr:row>1</xdr:row>
      <xdr:rowOff>83055</xdr:rowOff>
    </xdr:from>
    <xdr:to>
      <xdr:col>5</xdr:col>
      <xdr:colOff>331305</xdr:colOff>
      <xdr:row>8</xdr:row>
      <xdr:rowOff>157246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49AC6222-7682-EBC9-18CE-924A2F8094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27413" y="273555"/>
          <a:ext cx="1068457" cy="1407691"/>
        </a:xfrm>
        <a:prstGeom prst="rect">
          <a:avLst/>
        </a:prstGeom>
      </xdr:spPr>
    </xdr:pic>
    <xdr:clientData/>
  </xdr:twoCellAnchor>
  <xdr:twoCellAnchor editAs="oneCell">
    <xdr:from>
      <xdr:col>6</xdr:col>
      <xdr:colOff>530088</xdr:colOff>
      <xdr:row>1</xdr:row>
      <xdr:rowOff>33132</xdr:rowOff>
    </xdr:from>
    <xdr:to>
      <xdr:col>8</xdr:col>
      <xdr:colOff>538370</xdr:colOff>
      <xdr:row>7</xdr:row>
      <xdr:rowOff>124240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F623D36A-D091-4E30-60E2-DE92D8643E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07566" y="223632"/>
          <a:ext cx="1234108" cy="1234108"/>
        </a:xfrm>
        <a:prstGeom prst="rect">
          <a:avLst/>
        </a:prstGeom>
      </xdr:spPr>
    </xdr:pic>
    <xdr:clientData/>
  </xdr:twoCellAnchor>
  <xdr:twoCellAnchor editAs="oneCell">
    <xdr:from>
      <xdr:col>11</xdr:col>
      <xdr:colOff>418514</xdr:colOff>
      <xdr:row>0</xdr:row>
      <xdr:rowOff>173935</xdr:rowOff>
    </xdr:from>
    <xdr:to>
      <xdr:col>13</xdr:col>
      <xdr:colOff>453142</xdr:colOff>
      <xdr:row>7</xdr:row>
      <xdr:rowOff>106517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F93F91E9-99FB-A8B0-220D-4C392AD731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60557" y="173935"/>
          <a:ext cx="1260455" cy="1266082"/>
        </a:xfrm>
        <a:prstGeom prst="rect">
          <a:avLst/>
        </a:prstGeom>
      </xdr:spPr>
    </xdr:pic>
    <xdr:clientData/>
  </xdr:twoCellAnchor>
  <xdr:twoCellAnchor editAs="oneCell">
    <xdr:from>
      <xdr:col>9</xdr:col>
      <xdr:colOff>112072</xdr:colOff>
      <xdr:row>1</xdr:row>
      <xdr:rowOff>16566</xdr:rowOff>
    </xdr:from>
    <xdr:to>
      <xdr:col>11</xdr:col>
      <xdr:colOff>257477</xdr:colOff>
      <xdr:row>7</xdr:row>
      <xdr:rowOff>107674</xdr:rowOff>
    </xdr:to>
    <xdr:pic>
      <xdr:nvPicPr>
        <xdr:cNvPr id="11" name="Imagem 10">
          <a:extLst>
            <a:ext uri="{FF2B5EF4-FFF2-40B4-BE49-F238E27FC236}">
              <a16:creationId xmlns:a16="http://schemas.microsoft.com/office/drawing/2014/main" id="{97DCD96D-62AB-86A2-7377-ABEC20C001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28289" y="207066"/>
          <a:ext cx="1371231" cy="123410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208160</xdr:colOff>
      <xdr:row>0</xdr:row>
      <xdr:rowOff>0</xdr:rowOff>
    </xdr:from>
    <xdr:to>
      <xdr:col>2</xdr:col>
      <xdr:colOff>367392</xdr:colOff>
      <xdr:row>6</xdr:row>
      <xdr:rowOff>136071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53B4DFB3-A68A-4237-A48F-25206566D4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8160" y="0"/>
          <a:ext cx="1383875" cy="1279071"/>
        </a:xfrm>
        <a:prstGeom prst="rect">
          <a:avLst/>
        </a:prstGeom>
      </xdr:spPr>
    </xdr:pic>
    <xdr:clientData/>
  </xdr:twoCellAnchor>
  <xdr:twoCellAnchor>
    <xdr:from>
      <xdr:col>3</xdr:col>
      <xdr:colOff>134708</xdr:colOff>
      <xdr:row>4</xdr:row>
      <xdr:rowOff>138793</xdr:rowOff>
    </xdr:from>
    <xdr:to>
      <xdr:col>8</xdr:col>
      <xdr:colOff>353785</xdr:colOff>
      <xdr:row>22</xdr:row>
      <xdr:rowOff>0</xdr:rowOff>
    </xdr:to>
    <xdr:grpSp>
      <xdr:nvGrpSpPr>
        <xdr:cNvPr id="32" name="Agrupar 31">
          <a:extLst>
            <a:ext uri="{FF2B5EF4-FFF2-40B4-BE49-F238E27FC236}">
              <a16:creationId xmlns:a16="http://schemas.microsoft.com/office/drawing/2014/main" id="{16088E8D-7D01-0227-2BE3-A18AFC0FB215}"/>
            </a:ext>
          </a:extLst>
        </xdr:cNvPr>
        <xdr:cNvGrpSpPr/>
      </xdr:nvGrpSpPr>
      <xdr:grpSpPr>
        <a:xfrm>
          <a:off x="1971672" y="900793"/>
          <a:ext cx="3280684" cy="3290207"/>
          <a:chOff x="1952623" y="390525"/>
          <a:chExt cx="3094733" cy="2676525"/>
        </a:xfrm>
      </xdr:grpSpPr>
      <xdr:grpSp>
        <xdr:nvGrpSpPr>
          <xdr:cNvPr id="24" name="Agrupar 23">
            <a:extLst>
              <a:ext uri="{FF2B5EF4-FFF2-40B4-BE49-F238E27FC236}">
                <a16:creationId xmlns:a16="http://schemas.microsoft.com/office/drawing/2014/main" id="{B5144747-20B1-C743-2452-893813D99524}"/>
              </a:ext>
            </a:extLst>
          </xdr:cNvPr>
          <xdr:cNvGrpSpPr/>
        </xdr:nvGrpSpPr>
        <xdr:grpSpPr>
          <a:xfrm>
            <a:off x="3034423" y="794075"/>
            <a:ext cx="1041871" cy="2239537"/>
            <a:chOff x="2510548" y="336875"/>
            <a:chExt cx="1041871" cy="2239537"/>
          </a:xfrm>
        </xdr:grpSpPr>
        <xdr:grpSp>
          <xdr:nvGrpSpPr>
            <xdr:cNvPr id="18" name="Agrupar 17">
              <a:extLst>
                <a:ext uri="{FF2B5EF4-FFF2-40B4-BE49-F238E27FC236}">
                  <a16:creationId xmlns:a16="http://schemas.microsoft.com/office/drawing/2014/main" id="{F4AE3F61-5184-08CB-85B7-233CE6235680}"/>
                </a:ext>
              </a:extLst>
            </xdr:cNvPr>
            <xdr:cNvGrpSpPr/>
          </xdr:nvGrpSpPr>
          <xdr:grpSpPr>
            <a:xfrm>
              <a:off x="2539676" y="336875"/>
              <a:ext cx="1012743" cy="650077"/>
              <a:chOff x="2277637" y="241625"/>
              <a:chExt cx="1038482" cy="790682"/>
            </a:xfrm>
          </xdr:grpSpPr>
          <xdr:pic>
            <xdr:nvPicPr>
              <xdr:cNvPr id="12" name="Imagem 11">
                <a:extLst>
                  <a:ext uri="{FF2B5EF4-FFF2-40B4-BE49-F238E27FC236}">
                    <a16:creationId xmlns:a16="http://schemas.microsoft.com/office/drawing/2014/main" id="{AAAC71FF-E02F-43F5-89C0-AD8AF514173F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2" cstate="print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tretch>
                <a:fillRect/>
              </a:stretch>
            </xdr:blipFill>
            <xdr:spPr>
              <a:xfrm rot="5400000">
                <a:off x="2401537" y="117725"/>
                <a:ext cx="790682" cy="1038482"/>
              </a:xfrm>
              <a:prstGeom prst="rect">
                <a:avLst/>
              </a:prstGeom>
            </xdr:spPr>
          </xdr:pic>
          <xdr:pic>
            <xdr:nvPicPr>
              <xdr:cNvPr id="17" name="Imagem 16">
                <a:extLst>
                  <a:ext uri="{FF2B5EF4-FFF2-40B4-BE49-F238E27FC236}">
                    <a16:creationId xmlns:a16="http://schemas.microsoft.com/office/drawing/2014/main" id="{09927AA0-8132-0684-9356-60D736920713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3" cstate="print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tretch>
                <a:fillRect/>
              </a:stretch>
            </xdr:blipFill>
            <xdr:spPr>
              <a:xfrm>
                <a:off x="2281948" y="251297"/>
                <a:ext cx="701500" cy="770107"/>
              </a:xfrm>
              <a:prstGeom prst="rect">
                <a:avLst/>
              </a:prstGeom>
            </xdr:spPr>
          </xdr:pic>
        </xdr:grpSp>
        <xdr:grpSp>
          <xdr:nvGrpSpPr>
            <xdr:cNvPr id="21" name="Agrupar 20">
              <a:extLst>
                <a:ext uri="{FF2B5EF4-FFF2-40B4-BE49-F238E27FC236}">
                  <a16:creationId xmlns:a16="http://schemas.microsoft.com/office/drawing/2014/main" id="{934150C0-84F3-D7C1-93F7-D90A7B4BCCD5}"/>
                </a:ext>
              </a:extLst>
            </xdr:cNvPr>
            <xdr:cNvGrpSpPr/>
          </xdr:nvGrpSpPr>
          <xdr:grpSpPr>
            <a:xfrm>
              <a:off x="2533650" y="1127801"/>
              <a:ext cx="1001138" cy="666345"/>
              <a:chOff x="2281136" y="1104900"/>
              <a:chExt cx="1038482" cy="790682"/>
            </a:xfrm>
          </xdr:grpSpPr>
          <xdr:pic>
            <xdr:nvPicPr>
              <xdr:cNvPr id="15" name="Imagem 14">
                <a:extLst>
                  <a:ext uri="{FF2B5EF4-FFF2-40B4-BE49-F238E27FC236}">
                    <a16:creationId xmlns:a16="http://schemas.microsoft.com/office/drawing/2014/main" id="{468528AB-1521-49C7-B48B-5E8FA3FF2FEF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4" cstate="print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tretch>
                <a:fillRect/>
              </a:stretch>
            </xdr:blipFill>
            <xdr:spPr>
              <a:xfrm rot="5400000">
                <a:off x="2405036" y="981000"/>
                <a:ext cx="790682" cy="1038482"/>
              </a:xfrm>
              <a:prstGeom prst="rect">
                <a:avLst/>
              </a:prstGeom>
            </xdr:spPr>
          </xdr:pic>
          <xdr:pic>
            <xdr:nvPicPr>
              <xdr:cNvPr id="20" name="Imagem 19">
                <a:extLst>
                  <a:ext uri="{FF2B5EF4-FFF2-40B4-BE49-F238E27FC236}">
                    <a16:creationId xmlns:a16="http://schemas.microsoft.com/office/drawing/2014/main" id="{7238F8AF-1F0A-4235-90D1-A67F8E073B03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5" cstate="print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tretch>
                <a:fillRect/>
              </a:stretch>
            </xdr:blipFill>
            <xdr:spPr>
              <a:xfrm>
                <a:off x="2286000" y="1106521"/>
                <a:ext cx="713361" cy="786320"/>
              </a:xfrm>
              <a:prstGeom prst="rect">
                <a:avLst/>
              </a:prstGeom>
            </xdr:spPr>
          </xdr:pic>
        </xdr:grpSp>
        <xdr:grpSp>
          <xdr:nvGrpSpPr>
            <xdr:cNvPr id="23" name="Agrupar 22">
              <a:extLst>
                <a:ext uri="{FF2B5EF4-FFF2-40B4-BE49-F238E27FC236}">
                  <a16:creationId xmlns:a16="http://schemas.microsoft.com/office/drawing/2014/main" id="{0625325F-9696-0C85-E7FA-3CEFF7BDB3E1}"/>
                </a:ext>
              </a:extLst>
            </xdr:cNvPr>
            <xdr:cNvGrpSpPr/>
          </xdr:nvGrpSpPr>
          <xdr:grpSpPr>
            <a:xfrm>
              <a:off x="2510548" y="1919793"/>
              <a:ext cx="1018769" cy="656619"/>
              <a:chOff x="2271611" y="1957690"/>
              <a:chExt cx="1038482" cy="795142"/>
            </a:xfrm>
          </xdr:grpSpPr>
          <xdr:pic>
            <xdr:nvPicPr>
              <xdr:cNvPr id="16" name="Imagem 15">
                <a:extLst>
                  <a:ext uri="{FF2B5EF4-FFF2-40B4-BE49-F238E27FC236}">
                    <a16:creationId xmlns:a16="http://schemas.microsoft.com/office/drawing/2014/main" id="{EB55F70D-0733-4469-B271-F2FF55958BDA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6" cstate="print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tretch>
                <a:fillRect/>
              </a:stretch>
            </xdr:blipFill>
            <xdr:spPr>
              <a:xfrm rot="5400000">
                <a:off x="2395511" y="1838250"/>
                <a:ext cx="790682" cy="1038482"/>
              </a:xfrm>
              <a:prstGeom prst="rect">
                <a:avLst/>
              </a:prstGeom>
            </xdr:spPr>
          </xdr:pic>
          <xdr:pic>
            <xdr:nvPicPr>
              <xdr:cNvPr id="22" name="Imagem 21">
                <a:extLst>
                  <a:ext uri="{FF2B5EF4-FFF2-40B4-BE49-F238E27FC236}">
                    <a16:creationId xmlns:a16="http://schemas.microsoft.com/office/drawing/2014/main" id="{7791FB95-B251-4006-ACD6-743B4BFBBB0C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7" cstate="print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tretch>
                <a:fillRect/>
              </a:stretch>
            </xdr:blipFill>
            <xdr:spPr>
              <a:xfrm>
                <a:off x="2273839" y="1957690"/>
                <a:ext cx="721470" cy="794427"/>
              </a:xfrm>
              <a:prstGeom prst="rect">
                <a:avLst/>
              </a:prstGeom>
            </xdr:spPr>
          </xdr:pic>
        </xdr:grpSp>
      </xdr:grpSp>
      <xdr:sp macro="" textlink="">
        <xdr:nvSpPr>
          <xdr:cNvPr id="25" name="Retângulo 24">
            <a:extLst>
              <a:ext uri="{FF2B5EF4-FFF2-40B4-BE49-F238E27FC236}">
                <a16:creationId xmlns:a16="http://schemas.microsoft.com/office/drawing/2014/main" id="{F475869B-88D9-C06B-6357-4ECA55B6A338}"/>
              </a:ext>
            </a:extLst>
          </xdr:cNvPr>
          <xdr:cNvSpPr/>
        </xdr:nvSpPr>
        <xdr:spPr>
          <a:xfrm>
            <a:off x="2238374" y="885825"/>
            <a:ext cx="781051" cy="60960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pt-BR" sz="1100" baseline="0">
                <a:solidFill>
                  <a:schemeClr val="accent6"/>
                </a:solidFill>
              </a:rPr>
              <a:t>28 uind. </a:t>
            </a:r>
            <a:r>
              <a:rPr lang="pt-BR" sz="1100" baseline="0">
                <a:solidFill>
                  <a:schemeClr val="bg1">
                    <a:lumMod val="85000"/>
                  </a:schemeClr>
                </a:solidFill>
              </a:rPr>
              <a:t>VENDIDAS</a:t>
            </a:r>
            <a:endParaRPr lang="pt-BR" sz="1100">
              <a:solidFill>
                <a:schemeClr val="bg1">
                  <a:lumMod val="85000"/>
                </a:schemeClr>
              </a:solidFill>
            </a:endParaRPr>
          </a:p>
        </xdr:txBody>
      </xdr:sp>
      <xdr:sp macro="" textlink="">
        <xdr:nvSpPr>
          <xdr:cNvPr id="26" name="Retângulo 25">
            <a:extLst>
              <a:ext uri="{FF2B5EF4-FFF2-40B4-BE49-F238E27FC236}">
                <a16:creationId xmlns:a16="http://schemas.microsoft.com/office/drawing/2014/main" id="{D1D37B20-F7E6-435D-BDDD-3B86B1116509}"/>
              </a:ext>
            </a:extLst>
          </xdr:cNvPr>
          <xdr:cNvSpPr/>
        </xdr:nvSpPr>
        <xdr:spPr>
          <a:xfrm>
            <a:off x="1990724" y="828674"/>
            <a:ext cx="419101" cy="48577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pt-BR" sz="2800">
                <a:latin typeface="Cambria" panose="02040503050406030204" pitchFamily="18" charset="0"/>
                <a:ea typeface="Cambria" panose="02040503050406030204" pitchFamily="18" charset="0"/>
              </a:rPr>
              <a:t>1</a:t>
            </a:r>
            <a:r>
              <a:rPr lang="pt-BR" sz="2800" baseline="0"/>
              <a:t> </a:t>
            </a:r>
            <a:endParaRPr lang="pt-BR" sz="2800">
              <a:solidFill>
                <a:schemeClr val="bg1">
                  <a:lumMod val="85000"/>
                </a:schemeClr>
              </a:solidFill>
            </a:endParaRPr>
          </a:p>
        </xdr:txBody>
      </xdr:sp>
      <xdr:sp macro="" textlink="">
        <xdr:nvSpPr>
          <xdr:cNvPr id="27" name="Retângulo 26">
            <a:extLst>
              <a:ext uri="{FF2B5EF4-FFF2-40B4-BE49-F238E27FC236}">
                <a16:creationId xmlns:a16="http://schemas.microsoft.com/office/drawing/2014/main" id="{2EDD3910-C872-4672-A32C-F268F476F767}"/>
              </a:ext>
            </a:extLst>
          </xdr:cNvPr>
          <xdr:cNvSpPr/>
        </xdr:nvSpPr>
        <xdr:spPr>
          <a:xfrm>
            <a:off x="2247899" y="1666875"/>
            <a:ext cx="790575" cy="60960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pt-BR" sz="1100" baseline="0">
                <a:solidFill>
                  <a:schemeClr val="accent6"/>
                </a:solidFill>
              </a:rPr>
              <a:t>27 unid. </a:t>
            </a:r>
            <a:r>
              <a:rPr lang="pt-BR" sz="1100" baseline="0">
                <a:solidFill>
                  <a:schemeClr val="bg1">
                    <a:lumMod val="85000"/>
                  </a:schemeClr>
                </a:solidFill>
              </a:rPr>
              <a:t>VENDIDAS</a:t>
            </a:r>
            <a:endParaRPr lang="pt-BR" sz="1100">
              <a:solidFill>
                <a:schemeClr val="bg1">
                  <a:lumMod val="85000"/>
                </a:schemeClr>
              </a:solidFill>
            </a:endParaRPr>
          </a:p>
        </xdr:txBody>
      </xdr:sp>
      <xdr:sp macro="" textlink="">
        <xdr:nvSpPr>
          <xdr:cNvPr id="28" name="Retângulo 27">
            <a:extLst>
              <a:ext uri="{FF2B5EF4-FFF2-40B4-BE49-F238E27FC236}">
                <a16:creationId xmlns:a16="http://schemas.microsoft.com/office/drawing/2014/main" id="{2F2CB9B1-C3DA-4A51-9BC6-1EB74CC9B84E}"/>
              </a:ext>
            </a:extLst>
          </xdr:cNvPr>
          <xdr:cNvSpPr/>
        </xdr:nvSpPr>
        <xdr:spPr>
          <a:xfrm>
            <a:off x="2000249" y="1609724"/>
            <a:ext cx="419101" cy="48577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pt-BR" sz="2800" baseline="0">
                <a:latin typeface="Cambria" panose="02040503050406030204" pitchFamily="18" charset="0"/>
                <a:ea typeface="Cambria" panose="02040503050406030204" pitchFamily="18" charset="0"/>
              </a:rPr>
              <a:t>2</a:t>
            </a:r>
            <a:r>
              <a:rPr lang="pt-BR" sz="2800" baseline="0"/>
              <a:t> </a:t>
            </a:r>
            <a:endParaRPr lang="pt-BR" sz="2800">
              <a:solidFill>
                <a:schemeClr val="bg1">
                  <a:lumMod val="85000"/>
                </a:schemeClr>
              </a:solidFill>
            </a:endParaRPr>
          </a:p>
        </xdr:txBody>
      </xdr:sp>
      <xdr:sp macro="" textlink="">
        <xdr:nvSpPr>
          <xdr:cNvPr id="29" name="Retângulo 28">
            <a:extLst>
              <a:ext uri="{FF2B5EF4-FFF2-40B4-BE49-F238E27FC236}">
                <a16:creationId xmlns:a16="http://schemas.microsoft.com/office/drawing/2014/main" id="{27406EE2-AFE9-48C3-883F-45E0A558EBEF}"/>
              </a:ext>
            </a:extLst>
          </xdr:cNvPr>
          <xdr:cNvSpPr/>
        </xdr:nvSpPr>
        <xdr:spPr>
          <a:xfrm>
            <a:off x="2247899" y="2457450"/>
            <a:ext cx="866775" cy="60960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pt-BR" sz="1100" baseline="0">
                <a:solidFill>
                  <a:schemeClr val="accent6"/>
                </a:solidFill>
              </a:rPr>
              <a:t>24 unid. </a:t>
            </a:r>
            <a:r>
              <a:rPr lang="pt-BR" sz="1100" baseline="0">
                <a:solidFill>
                  <a:schemeClr val="bg1">
                    <a:lumMod val="85000"/>
                  </a:schemeClr>
                </a:solidFill>
              </a:rPr>
              <a:t>VENDIDAS</a:t>
            </a:r>
            <a:endParaRPr lang="pt-BR" sz="1100">
              <a:solidFill>
                <a:schemeClr val="bg1">
                  <a:lumMod val="85000"/>
                </a:schemeClr>
              </a:solidFill>
            </a:endParaRPr>
          </a:p>
        </xdr:txBody>
      </xdr:sp>
      <xdr:sp macro="" textlink="">
        <xdr:nvSpPr>
          <xdr:cNvPr id="30" name="Retângulo 29">
            <a:extLst>
              <a:ext uri="{FF2B5EF4-FFF2-40B4-BE49-F238E27FC236}">
                <a16:creationId xmlns:a16="http://schemas.microsoft.com/office/drawing/2014/main" id="{3BCE4942-81D4-43D6-8F57-261188AF2331}"/>
              </a:ext>
            </a:extLst>
          </xdr:cNvPr>
          <xdr:cNvSpPr/>
        </xdr:nvSpPr>
        <xdr:spPr>
          <a:xfrm>
            <a:off x="2019299" y="2419349"/>
            <a:ext cx="419101" cy="48577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pt-BR" sz="2800" baseline="0">
                <a:latin typeface="Cambria" panose="02040503050406030204" pitchFamily="18" charset="0"/>
                <a:ea typeface="Cambria" panose="02040503050406030204" pitchFamily="18" charset="0"/>
              </a:rPr>
              <a:t>3</a:t>
            </a:r>
            <a:r>
              <a:rPr lang="pt-BR" sz="2800" baseline="0"/>
              <a:t> </a:t>
            </a:r>
            <a:endParaRPr lang="pt-BR" sz="2800">
              <a:solidFill>
                <a:schemeClr val="bg1">
                  <a:lumMod val="85000"/>
                </a:schemeClr>
              </a:solidFill>
            </a:endParaRPr>
          </a:p>
        </xdr:txBody>
      </xdr:sp>
      <xdr:sp macro="" textlink="">
        <xdr:nvSpPr>
          <xdr:cNvPr id="31" name="Retângulo 30">
            <a:extLst>
              <a:ext uri="{FF2B5EF4-FFF2-40B4-BE49-F238E27FC236}">
                <a16:creationId xmlns:a16="http://schemas.microsoft.com/office/drawing/2014/main" id="{67746CB8-33C1-4A1B-8F35-34AC194D0D0F}"/>
              </a:ext>
            </a:extLst>
          </xdr:cNvPr>
          <xdr:cNvSpPr/>
        </xdr:nvSpPr>
        <xdr:spPr>
          <a:xfrm>
            <a:off x="1952623" y="390525"/>
            <a:ext cx="3094733" cy="35687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pt-BR" sz="1300" baseline="0">
                <a:solidFill>
                  <a:schemeClr val="accent6"/>
                </a:solidFill>
              </a:rPr>
              <a:t> </a:t>
            </a:r>
            <a:r>
              <a:rPr lang="pt-BR" sz="1400" baseline="0">
                <a:solidFill>
                  <a:schemeClr val="bg1">
                    <a:lumMod val="85000"/>
                  </a:schemeClr>
                </a:solidFill>
              </a:rPr>
              <a:t>Top 3 álbuns mais vendidso em 2025 na loja</a:t>
            </a:r>
            <a:endParaRPr lang="pt-BR" sz="1400">
              <a:solidFill>
                <a:schemeClr val="bg1">
                  <a:lumMod val="85000"/>
                </a:schemeClr>
              </a:solidFill>
            </a:endParaRPr>
          </a:p>
        </xdr:txBody>
      </xdr:sp>
    </xdr:grpSp>
    <xdr:clientData/>
  </xdr:twoCellAnchor>
  <xdr:twoCellAnchor editAs="absolute">
    <xdr:from>
      <xdr:col>0</xdr:col>
      <xdr:colOff>12246</xdr:colOff>
      <xdr:row>6</xdr:row>
      <xdr:rowOff>175191</xdr:rowOff>
    </xdr:from>
    <xdr:to>
      <xdr:col>3</xdr:col>
      <xdr:colOff>0</xdr:colOff>
      <xdr:row>41</xdr:row>
      <xdr:rowOff>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7" name="Artista">
              <a:extLst>
                <a:ext uri="{FF2B5EF4-FFF2-40B4-BE49-F238E27FC236}">
                  <a16:creationId xmlns:a16="http://schemas.microsoft.com/office/drawing/2014/main" id="{95C2BB0E-45A1-9032-5411-BD14CC9186F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rtista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246" y="1318191"/>
              <a:ext cx="1824718" cy="649230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8</xdr:col>
      <xdr:colOff>217715</xdr:colOff>
      <xdr:row>4</xdr:row>
      <xdr:rowOff>161926</xdr:rowOff>
    </xdr:from>
    <xdr:to>
      <xdr:col>15</xdr:col>
      <xdr:colOff>136072</xdr:colOff>
      <xdr:row>21</xdr:row>
      <xdr:rowOff>68036</xdr:rowOff>
    </xdr:to>
    <xdr:grpSp>
      <xdr:nvGrpSpPr>
        <xdr:cNvPr id="56" name="Agrupar 55">
          <a:extLst>
            <a:ext uri="{FF2B5EF4-FFF2-40B4-BE49-F238E27FC236}">
              <a16:creationId xmlns:a16="http://schemas.microsoft.com/office/drawing/2014/main" id="{3417134B-FC64-7FCC-40F1-24DDC45E3E9E}"/>
            </a:ext>
          </a:extLst>
        </xdr:cNvPr>
        <xdr:cNvGrpSpPr/>
      </xdr:nvGrpSpPr>
      <xdr:grpSpPr>
        <a:xfrm>
          <a:off x="5116286" y="923926"/>
          <a:ext cx="4204607" cy="3144610"/>
          <a:chOff x="5116286" y="923926"/>
          <a:chExt cx="4204607" cy="3144610"/>
        </a:xfrm>
      </xdr:grpSpPr>
      <xdr:graphicFrame macro="">
        <xdr:nvGraphicFramePr>
          <xdr:cNvPr id="36" name="Gráfico 35">
            <a:extLst>
              <a:ext uri="{FF2B5EF4-FFF2-40B4-BE49-F238E27FC236}">
                <a16:creationId xmlns:a16="http://schemas.microsoft.com/office/drawing/2014/main" id="{74DDFE5F-D5F4-4081-9FA2-2B1A6396566A}"/>
              </a:ext>
            </a:extLst>
          </xdr:cNvPr>
          <xdr:cNvGraphicFramePr>
            <a:graphicFrameLocks/>
          </xdr:cNvGraphicFramePr>
        </xdr:nvGraphicFramePr>
        <xdr:xfrm>
          <a:off x="5116286" y="1435554"/>
          <a:ext cx="4204607" cy="263298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8"/>
          </a:graphicData>
        </a:graphic>
      </xdr:graphicFrame>
      <xdr:sp macro="" textlink="">
        <xdr:nvSpPr>
          <xdr:cNvPr id="38" name="Retângulo 37">
            <a:extLst>
              <a:ext uri="{FF2B5EF4-FFF2-40B4-BE49-F238E27FC236}">
                <a16:creationId xmlns:a16="http://schemas.microsoft.com/office/drawing/2014/main" id="{17A62337-66FC-4E8F-8098-3D60405B68B1}"/>
              </a:ext>
            </a:extLst>
          </xdr:cNvPr>
          <xdr:cNvSpPr/>
        </xdr:nvSpPr>
        <xdr:spPr>
          <a:xfrm>
            <a:off x="5544910" y="923926"/>
            <a:ext cx="3476626" cy="341539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pt-BR" sz="1200" baseline="0">
                <a:solidFill>
                  <a:schemeClr val="accent6"/>
                </a:solidFill>
              </a:rPr>
              <a:t> </a:t>
            </a:r>
            <a:r>
              <a:rPr lang="pt-BR" sz="1400" baseline="0">
                <a:solidFill>
                  <a:schemeClr val="bg1">
                    <a:lumMod val="85000"/>
                  </a:schemeClr>
                </a:solidFill>
              </a:rPr>
              <a:t>Total de Receita Liq. por álbuns em 2025 na loja</a:t>
            </a:r>
            <a:endParaRPr lang="pt-BR" sz="1400">
              <a:solidFill>
                <a:schemeClr val="bg1">
                  <a:lumMod val="85000"/>
                </a:schemeClr>
              </a:solidFill>
            </a:endParaRPr>
          </a:p>
        </xdr:txBody>
      </xdr:sp>
    </xdr:grpSp>
    <xdr:clientData/>
  </xdr:twoCellAnchor>
  <xdr:twoCellAnchor editAs="absolute">
    <xdr:from>
      <xdr:col>5</xdr:col>
      <xdr:colOff>544286</xdr:colOff>
      <xdr:row>0</xdr:row>
      <xdr:rowOff>142875</xdr:rowOff>
    </xdr:from>
    <xdr:to>
      <xdr:col>8</xdr:col>
      <xdr:colOff>171450</xdr:colOff>
      <xdr:row>3</xdr:row>
      <xdr:rowOff>149679</xdr:rowOff>
    </xdr:to>
    <xdr:sp macro="" textlink="">
      <xdr:nvSpPr>
        <xdr:cNvPr id="40" name="Retângulo: Cantos Arredondados 39">
          <a:extLst>
            <a:ext uri="{FF2B5EF4-FFF2-40B4-BE49-F238E27FC236}">
              <a16:creationId xmlns:a16="http://schemas.microsoft.com/office/drawing/2014/main" id="{F9698329-2917-47D7-B6E5-6BC40E44D059}"/>
            </a:ext>
          </a:extLst>
        </xdr:cNvPr>
        <xdr:cNvSpPr/>
      </xdr:nvSpPr>
      <xdr:spPr>
        <a:xfrm>
          <a:off x="3605893" y="142875"/>
          <a:ext cx="1464128" cy="578304"/>
        </a:xfrm>
        <a:prstGeom prst="roundRect">
          <a:avLst/>
        </a:prstGeom>
        <a:ln/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610958</xdr:colOff>
      <xdr:row>0</xdr:row>
      <xdr:rowOff>134711</xdr:rowOff>
    </xdr:from>
    <xdr:to>
      <xdr:col>6</xdr:col>
      <xdr:colOff>-1</xdr:colOff>
      <xdr:row>3</xdr:row>
      <xdr:rowOff>152401</xdr:rowOff>
    </xdr:to>
    <xdr:grpSp>
      <xdr:nvGrpSpPr>
        <xdr:cNvPr id="67" name="Agrupar 66">
          <a:extLst>
            <a:ext uri="{FF2B5EF4-FFF2-40B4-BE49-F238E27FC236}">
              <a16:creationId xmlns:a16="http://schemas.microsoft.com/office/drawing/2014/main" id="{3971CAF3-C2EA-DAEA-B305-EEC37F4C6A1A}"/>
            </a:ext>
          </a:extLst>
        </xdr:cNvPr>
        <xdr:cNvGrpSpPr/>
      </xdr:nvGrpSpPr>
      <xdr:grpSpPr>
        <a:xfrm>
          <a:off x="1835601" y="134711"/>
          <a:ext cx="1838327" cy="589190"/>
          <a:chOff x="1835601" y="134711"/>
          <a:chExt cx="1838327" cy="589190"/>
        </a:xfrm>
      </xdr:grpSpPr>
      <xdr:sp macro="" textlink="">
        <xdr:nvSpPr>
          <xdr:cNvPr id="65" name="Retângulo: Cantos Arredondados 64">
            <a:extLst>
              <a:ext uri="{FF2B5EF4-FFF2-40B4-BE49-F238E27FC236}">
                <a16:creationId xmlns:a16="http://schemas.microsoft.com/office/drawing/2014/main" id="{89D3FB7B-61BF-4A1D-BB08-EA5243980EC1}"/>
              </a:ext>
            </a:extLst>
          </xdr:cNvPr>
          <xdr:cNvSpPr/>
        </xdr:nvSpPr>
        <xdr:spPr>
          <a:xfrm>
            <a:off x="2030186" y="145597"/>
            <a:ext cx="1464128" cy="578304"/>
          </a:xfrm>
          <a:prstGeom prst="roundRect">
            <a:avLst/>
          </a:prstGeom>
          <a:ln/>
        </xdr:spPr>
        <xdr:style>
          <a:lnRef idx="1">
            <a:schemeClr val="dk1"/>
          </a:lnRef>
          <a:fillRef idx="3">
            <a:schemeClr val="dk1"/>
          </a:fillRef>
          <a:effectRef idx="2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43" name="Retângulo 42">
            <a:extLst>
              <a:ext uri="{FF2B5EF4-FFF2-40B4-BE49-F238E27FC236}">
                <a16:creationId xmlns:a16="http://schemas.microsoft.com/office/drawing/2014/main" id="{0E9E84B4-B82B-4E97-BBD2-5BF87924EE8E}"/>
              </a:ext>
            </a:extLst>
          </xdr:cNvPr>
          <xdr:cNvSpPr/>
        </xdr:nvSpPr>
        <xdr:spPr>
          <a:xfrm>
            <a:off x="1835601" y="134711"/>
            <a:ext cx="1838327" cy="300717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pt-BR" sz="1300" baseline="0">
                <a:solidFill>
                  <a:schemeClr val="accent6"/>
                </a:solidFill>
              </a:rPr>
              <a:t> </a:t>
            </a:r>
            <a:r>
              <a:rPr lang="pt-BR" sz="1400" baseline="0">
                <a:solidFill>
                  <a:schemeClr val="accent6"/>
                </a:solidFill>
              </a:rPr>
              <a:t>Unidades</a:t>
            </a:r>
            <a:r>
              <a:rPr lang="pt-BR" sz="1300" baseline="0">
                <a:solidFill>
                  <a:schemeClr val="bg1">
                    <a:lumMod val="85000"/>
                  </a:schemeClr>
                </a:solidFill>
              </a:rPr>
              <a:t> </a:t>
            </a:r>
            <a:r>
              <a:rPr lang="pt-BR" sz="1300" baseline="0">
                <a:solidFill>
                  <a:schemeClr val="accent6"/>
                </a:solidFill>
              </a:rPr>
              <a:t>Vendidas</a:t>
            </a:r>
            <a:endParaRPr lang="pt-BR" sz="1300">
              <a:solidFill>
                <a:schemeClr val="accent6"/>
              </a:solidFill>
            </a:endParaRPr>
          </a:p>
        </xdr:txBody>
      </xdr:sp>
    </xdr:grpSp>
    <xdr:clientData/>
  </xdr:twoCellAnchor>
  <xdr:twoCellAnchor>
    <xdr:from>
      <xdr:col>15</xdr:col>
      <xdr:colOff>234043</xdr:colOff>
      <xdr:row>4</xdr:row>
      <xdr:rowOff>160563</xdr:rowOff>
    </xdr:from>
    <xdr:to>
      <xdr:col>23</xdr:col>
      <xdr:colOff>204107</xdr:colOff>
      <xdr:row>20</xdr:row>
      <xdr:rowOff>81643</xdr:rowOff>
    </xdr:to>
    <xdr:grpSp>
      <xdr:nvGrpSpPr>
        <xdr:cNvPr id="57" name="Agrupar 56">
          <a:extLst>
            <a:ext uri="{FF2B5EF4-FFF2-40B4-BE49-F238E27FC236}">
              <a16:creationId xmlns:a16="http://schemas.microsoft.com/office/drawing/2014/main" id="{E8E28AB6-6D58-68C8-2FC7-FD034390ABD6}"/>
            </a:ext>
          </a:extLst>
        </xdr:cNvPr>
        <xdr:cNvGrpSpPr/>
      </xdr:nvGrpSpPr>
      <xdr:grpSpPr>
        <a:xfrm>
          <a:off x="9418864" y="922563"/>
          <a:ext cx="4868636" cy="2969080"/>
          <a:chOff x="9418864" y="922563"/>
          <a:chExt cx="4868636" cy="2969080"/>
        </a:xfrm>
      </xdr:grpSpPr>
      <xdr:graphicFrame macro="">
        <xdr:nvGraphicFramePr>
          <xdr:cNvPr id="49" name="Gráfico 48">
            <a:extLst>
              <a:ext uri="{FF2B5EF4-FFF2-40B4-BE49-F238E27FC236}">
                <a16:creationId xmlns:a16="http://schemas.microsoft.com/office/drawing/2014/main" id="{4B8CE351-9A80-49A5-9958-6368AD936569}"/>
              </a:ext>
            </a:extLst>
          </xdr:cNvPr>
          <xdr:cNvGraphicFramePr>
            <a:graphicFrameLocks/>
          </xdr:cNvGraphicFramePr>
        </xdr:nvGraphicFramePr>
        <xdr:xfrm>
          <a:off x="9756321" y="1258321"/>
          <a:ext cx="4531179" cy="263332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9"/>
          </a:graphicData>
        </a:graphic>
      </xdr:graphicFrame>
      <xdr:sp macro="" textlink="">
        <xdr:nvSpPr>
          <xdr:cNvPr id="50" name="Retângulo 49">
            <a:extLst>
              <a:ext uri="{FF2B5EF4-FFF2-40B4-BE49-F238E27FC236}">
                <a16:creationId xmlns:a16="http://schemas.microsoft.com/office/drawing/2014/main" id="{DDD50DB1-DD24-407D-BCC0-BB24BDE31790}"/>
              </a:ext>
            </a:extLst>
          </xdr:cNvPr>
          <xdr:cNvSpPr/>
        </xdr:nvSpPr>
        <xdr:spPr>
          <a:xfrm>
            <a:off x="9418864" y="922563"/>
            <a:ext cx="4867540" cy="357803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pt-BR" sz="1200" baseline="0">
                <a:solidFill>
                  <a:schemeClr val="accent6"/>
                </a:solidFill>
              </a:rPr>
              <a:t> </a:t>
            </a:r>
            <a:r>
              <a:rPr lang="pt-BR" sz="1400" baseline="0">
                <a:solidFill>
                  <a:schemeClr val="bg1">
                    <a:lumMod val="85000"/>
                  </a:schemeClr>
                </a:solidFill>
              </a:rPr>
              <a:t>Total de vendas por faixa de idade em 2025 na loja</a:t>
            </a:r>
            <a:endParaRPr lang="pt-BR" sz="1400">
              <a:solidFill>
                <a:schemeClr val="bg1">
                  <a:lumMod val="85000"/>
                </a:schemeClr>
              </a:solidFill>
            </a:endParaRPr>
          </a:p>
        </xdr:txBody>
      </xdr:sp>
    </xdr:grpSp>
    <xdr:clientData/>
  </xdr:twoCellAnchor>
  <xdr:twoCellAnchor>
    <xdr:from>
      <xdr:col>21</xdr:col>
      <xdr:colOff>549728</xdr:colOff>
      <xdr:row>4</xdr:row>
      <xdr:rowOff>149677</xdr:rowOff>
    </xdr:from>
    <xdr:to>
      <xdr:col>29</xdr:col>
      <xdr:colOff>518697</xdr:colOff>
      <xdr:row>21</xdr:row>
      <xdr:rowOff>190499</xdr:rowOff>
    </xdr:to>
    <xdr:grpSp>
      <xdr:nvGrpSpPr>
        <xdr:cNvPr id="58" name="Agrupar 57">
          <a:extLst>
            <a:ext uri="{FF2B5EF4-FFF2-40B4-BE49-F238E27FC236}">
              <a16:creationId xmlns:a16="http://schemas.microsoft.com/office/drawing/2014/main" id="{0EE0032F-99B9-009D-B535-5275D97452D3}"/>
            </a:ext>
          </a:extLst>
        </xdr:cNvPr>
        <xdr:cNvGrpSpPr/>
      </xdr:nvGrpSpPr>
      <xdr:grpSpPr>
        <a:xfrm>
          <a:off x="13408478" y="911677"/>
          <a:ext cx="4867540" cy="3279322"/>
          <a:chOff x="13408478" y="911677"/>
          <a:chExt cx="4867540" cy="3279322"/>
        </a:xfrm>
      </xdr:grpSpPr>
      <xdr:graphicFrame macro="">
        <xdr:nvGraphicFramePr>
          <xdr:cNvPr id="54" name="Gráfico 53">
            <a:extLst>
              <a:ext uri="{FF2B5EF4-FFF2-40B4-BE49-F238E27FC236}">
                <a16:creationId xmlns:a16="http://schemas.microsoft.com/office/drawing/2014/main" id="{B4D25B72-940B-454C-9DE3-90E180D2CDC5}"/>
              </a:ext>
            </a:extLst>
          </xdr:cNvPr>
          <xdr:cNvGraphicFramePr>
            <a:graphicFrameLocks/>
          </xdr:cNvGraphicFramePr>
        </xdr:nvGraphicFramePr>
        <xdr:xfrm>
          <a:off x="14124215" y="1292677"/>
          <a:ext cx="3483428" cy="289832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0"/>
          </a:graphicData>
        </a:graphic>
      </xdr:graphicFrame>
      <xdr:sp macro="" textlink="">
        <xdr:nvSpPr>
          <xdr:cNvPr id="55" name="Retângulo 54">
            <a:extLst>
              <a:ext uri="{FF2B5EF4-FFF2-40B4-BE49-F238E27FC236}">
                <a16:creationId xmlns:a16="http://schemas.microsoft.com/office/drawing/2014/main" id="{2871349E-BE81-4793-8ECA-5BBA51C5BD67}"/>
              </a:ext>
            </a:extLst>
          </xdr:cNvPr>
          <xdr:cNvSpPr/>
        </xdr:nvSpPr>
        <xdr:spPr>
          <a:xfrm>
            <a:off x="13408478" y="911677"/>
            <a:ext cx="4867540" cy="357803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pt-BR" sz="1200" baseline="0">
                <a:solidFill>
                  <a:schemeClr val="accent6"/>
                </a:solidFill>
              </a:rPr>
              <a:t> </a:t>
            </a:r>
            <a:r>
              <a:rPr lang="pt-BR" sz="1400" baseline="0">
                <a:solidFill>
                  <a:schemeClr val="bg1">
                    <a:lumMod val="85000"/>
                  </a:schemeClr>
                </a:solidFill>
              </a:rPr>
              <a:t>Total de vendas por sexo em 2025 na loja</a:t>
            </a:r>
            <a:endParaRPr lang="pt-BR" sz="1400">
              <a:solidFill>
                <a:schemeClr val="bg1">
                  <a:lumMod val="85000"/>
                </a:schemeClr>
              </a:solidFill>
            </a:endParaRPr>
          </a:p>
        </xdr:txBody>
      </xdr:sp>
    </xdr:grpSp>
    <xdr:clientData/>
  </xdr:twoCellAnchor>
  <xdr:twoCellAnchor>
    <xdr:from>
      <xdr:col>5</xdr:col>
      <xdr:colOff>476251</xdr:colOff>
      <xdr:row>0</xdr:row>
      <xdr:rowOff>136072</xdr:rowOff>
    </xdr:from>
    <xdr:to>
      <xdr:col>8</xdr:col>
      <xdr:colOff>244930</xdr:colOff>
      <xdr:row>3</xdr:row>
      <xdr:rowOff>136071</xdr:rowOff>
    </xdr:to>
    <xdr:grpSp>
      <xdr:nvGrpSpPr>
        <xdr:cNvPr id="66" name="Agrupar 65">
          <a:extLst>
            <a:ext uri="{FF2B5EF4-FFF2-40B4-BE49-F238E27FC236}">
              <a16:creationId xmlns:a16="http://schemas.microsoft.com/office/drawing/2014/main" id="{B18C6A04-25B0-2A4C-496A-551249ECCD06}"/>
            </a:ext>
          </a:extLst>
        </xdr:cNvPr>
        <xdr:cNvGrpSpPr/>
      </xdr:nvGrpSpPr>
      <xdr:grpSpPr>
        <a:xfrm>
          <a:off x="3537858" y="136072"/>
          <a:ext cx="1605643" cy="571499"/>
          <a:chOff x="3537858" y="108858"/>
          <a:chExt cx="1605643" cy="571499"/>
        </a:xfrm>
      </xdr:grpSpPr>
      <xdr:sp macro="" textlink="">
        <xdr:nvSpPr>
          <xdr:cNvPr id="60" name="Retângulo 59">
            <a:extLst>
              <a:ext uri="{FF2B5EF4-FFF2-40B4-BE49-F238E27FC236}">
                <a16:creationId xmlns:a16="http://schemas.microsoft.com/office/drawing/2014/main" id="{99483FA5-A954-481E-8732-C6C8FDDC3175}"/>
              </a:ext>
            </a:extLst>
          </xdr:cNvPr>
          <xdr:cNvSpPr/>
        </xdr:nvSpPr>
        <xdr:spPr>
          <a:xfrm>
            <a:off x="3537858" y="108858"/>
            <a:ext cx="1605643" cy="312964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pt-BR" sz="1300" baseline="0">
                <a:solidFill>
                  <a:schemeClr val="accent6"/>
                </a:solidFill>
              </a:rPr>
              <a:t>Receita  Bruta Total</a:t>
            </a:r>
            <a:endParaRPr lang="pt-BR" sz="1100">
              <a:solidFill>
                <a:schemeClr val="accent6"/>
              </a:solidFill>
            </a:endParaRPr>
          </a:p>
        </xdr:txBody>
      </xdr:sp>
      <xdr:sp macro="" textlink="TBs!L6">
        <xdr:nvSpPr>
          <xdr:cNvPr id="62" name="Retângulo 61">
            <a:extLst>
              <a:ext uri="{FF2B5EF4-FFF2-40B4-BE49-F238E27FC236}">
                <a16:creationId xmlns:a16="http://schemas.microsoft.com/office/drawing/2014/main" id="{8D23C6CD-F346-1EC8-F014-25F0E41E36B2}"/>
              </a:ext>
            </a:extLst>
          </xdr:cNvPr>
          <xdr:cNvSpPr/>
        </xdr:nvSpPr>
        <xdr:spPr>
          <a:xfrm>
            <a:off x="3605895" y="299356"/>
            <a:ext cx="1428750" cy="381001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1B419CE1-6290-402C-8801-65C75F9CC60D}" type="TxLink">
              <a:rPr lang="en-US" sz="1800" b="1" i="0" u="none" strike="noStrike">
                <a:solidFill>
                  <a:schemeClr val="accent6"/>
                </a:solidFill>
                <a:latin typeface="Calibri"/>
                <a:ea typeface="Calibri"/>
                <a:cs typeface="Calibri"/>
              </a:rPr>
              <a:pPr algn="ctr"/>
              <a:t>R$ 84.920</a:t>
            </a:fld>
            <a:endParaRPr lang="pt-BR" sz="1800">
              <a:solidFill>
                <a:schemeClr val="accent6"/>
              </a:solidFill>
            </a:endParaRPr>
          </a:p>
        </xdr:txBody>
      </xdr:sp>
    </xdr:grpSp>
    <xdr:clientData/>
  </xdr:twoCellAnchor>
  <xdr:twoCellAnchor>
    <xdr:from>
      <xdr:col>3</xdr:col>
      <xdr:colOff>0</xdr:colOff>
      <xdr:row>4</xdr:row>
      <xdr:rowOff>0</xdr:rowOff>
    </xdr:from>
    <xdr:to>
      <xdr:col>28</xdr:col>
      <xdr:colOff>258536</xdr:colOff>
      <xdr:row>4</xdr:row>
      <xdr:rowOff>54429</xdr:rowOff>
    </xdr:to>
    <xdr:cxnSp macro="">
      <xdr:nvCxnSpPr>
        <xdr:cNvPr id="64" name="Conector reto 63">
          <a:extLst>
            <a:ext uri="{FF2B5EF4-FFF2-40B4-BE49-F238E27FC236}">
              <a16:creationId xmlns:a16="http://schemas.microsoft.com/office/drawing/2014/main" id="{5D77F7B9-A1BD-841D-934B-8B0B5A6680C5}"/>
            </a:ext>
          </a:extLst>
        </xdr:cNvPr>
        <xdr:cNvCxnSpPr/>
      </xdr:nvCxnSpPr>
      <xdr:spPr>
        <a:xfrm flipV="1">
          <a:off x="1836964" y="762000"/>
          <a:ext cx="15566572" cy="54429"/>
        </a:xfrm>
        <a:prstGeom prst="line">
          <a:avLst/>
        </a:prstGeom>
        <a:ln>
          <a:solidFill>
            <a:schemeClr val="bg1">
              <a:lumMod val="50000"/>
            </a:schemeClr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</xdr:col>
      <xdr:colOff>367393</xdr:colOff>
      <xdr:row>1</xdr:row>
      <xdr:rowOff>149680</xdr:rowOff>
    </xdr:from>
    <xdr:to>
      <xdr:col>5</xdr:col>
      <xdr:colOff>299357</xdr:colOff>
      <xdr:row>3</xdr:row>
      <xdr:rowOff>122465</xdr:rowOff>
    </xdr:to>
    <xdr:sp macro="" textlink="TBs!O34">
      <xdr:nvSpPr>
        <xdr:cNvPr id="68" name="Retângulo 67">
          <a:extLst>
            <a:ext uri="{FF2B5EF4-FFF2-40B4-BE49-F238E27FC236}">
              <a16:creationId xmlns:a16="http://schemas.microsoft.com/office/drawing/2014/main" id="{93E0908C-D1E4-E32F-BD4D-4425C902E973}"/>
            </a:ext>
          </a:extLst>
        </xdr:cNvPr>
        <xdr:cNvSpPr/>
      </xdr:nvSpPr>
      <xdr:spPr>
        <a:xfrm>
          <a:off x="2204357" y="340180"/>
          <a:ext cx="1156607" cy="35378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CB9B8A07-0923-4160-8C36-8835BC342DEE}" type="TxLink">
            <a:rPr lang="en-US" sz="2000" b="1" i="0" u="none" strike="noStrike">
              <a:solidFill>
                <a:schemeClr val="accent6"/>
              </a:solidFill>
              <a:latin typeface="Calibri"/>
              <a:ea typeface="Calibri"/>
              <a:cs typeface="Calibri"/>
            </a:rPr>
            <a:pPr algn="ctr"/>
            <a:t>334</a:t>
          </a:fld>
          <a:endParaRPr lang="pt-BR" sz="2000" b="1">
            <a:solidFill>
              <a:schemeClr val="accent6"/>
            </a:solidFill>
          </a:endParaRPr>
        </a:p>
      </xdr:txBody>
    </xdr:sp>
    <xdr:clientData/>
  </xdr:twoCellAnchor>
  <xdr:twoCellAnchor editAs="absolute">
    <xdr:from>
      <xdr:col>8</xdr:col>
      <xdr:colOff>288472</xdr:colOff>
      <xdr:row>0</xdr:row>
      <xdr:rowOff>131989</xdr:rowOff>
    </xdr:from>
    <xdr:to>
      <xdr:col>10</xdr:col>
      <xdr:colOff>527957</xdr:colOff>
      <xdr:row>3</xdr:row>
      <xdr:rowOff>138793</xdr:rowOff>
    </xdr:to>
    <xdr:sp macro="" textlink="">
      <xdr:nvSpPr>
        <xdr:cNvPr id="69" name="Retângulo: Cantos Arredondados 68">
          <a:extLst>
            <a:ext uri="{FF2B5EF4-FFF2-40B4-BE49-F238E27FC236}">
              <a16:creationId xmlns:a16="http://schemas.microsoft.com/office/drawing/2014/main" id="{E77A0AE4-8992-4C9E-A9A1-68C7104F304F}"/>
            </a:ext>
          </a:extLst>
        </xdr:cNvPr>
        <xdr:cNvSpPr/>
      </xdr:nvSpPr>
      <xdr:spPr>
        <a:xfrm>
          <a:off x="5187043" y="131989"/>
          <a:ext cx="1464128" cy="578304"/>
        </a:xfrm>
        <a:prstGeom prst="roundRect">
          <a:avLst/>
        </a:prstGeom>
        <a:ln/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381000</xdr:colOff>
      <xdr:row>22</xdr:row>
      <xdr:rowOff>122466</xdr:rowOff>
    </xdr:from>
    <xdr:to>
      <xdr:col>11</xdr:col>
      <xdr:colOff>258536</xdr:colOff>
      <xdr:row>41</xdr:row>
      <xdr:rowOff>0</xdr:rowOff>
    </xdr:to>
    <xdr:grpSp>
      <xdr:nvGrpSpPr>
        <xdr:cNvPr id="73" name="Agrupar 72">
          <a:extLst>
            <a:ext uri="{FF2B5EF4-FFF2-40B4-BE49-F238E27FC236}">
              <a16:creationId xmlns:a16="http://schemas.microsoft.com/office/drawing/2014/main" id="{35653B1C-3C56-0417-660E-6F8BD000F607}"/>
            </a:ext>
          </a:extLst>
        </xdr:cNvPr>
        <xdr:cNvGrpSpPr/>
      </xdr:nvGrpSpPr>
      <xdr:grpSpPr>
        <a:xfrm>
          <a:off x="1605643" y="4313466"/>
          <a:ext cx="5388429" cy="3497034"/>
          <a:chOff x="1469572" y="4516212"/>
          <a:chExt cx="5456464" cy="3756932"/>
        </a:xfrm>
      </xdr:grpSpPr>
      <xdr:graphicFrame macro="">
        <xdr:nvGraphicFramePr>
          <xdr:cNvPr id="71" name="Gráfico 70">
            <a:extLst>
              <a:ext uri="{FF2B5EF4-FFF2-40B4-BE49-F238E27FC236}">
                <a16:creationId xmlns:a16="http://schemas.microsoft.com/office/drawing/2014/main" id="{06E3AAD0-DBA6-4593-9E14-03788FD45DFA}"/>
              </a:ext>
            </a:extLst>
          </xdr:cNvPr>
          <xdr:cNvGraphicFramePr>
            <a:graphicFrameLocks/>
          </xdr:cNvGraphicFramePr>
        </xdr:nvGraphicFramePr>
        <xdr:xfrm>
          <a:off x="1469572" y="4884964"/>
          <a:ext cx="5456464" cy="33881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1"/>
          </a:graphicData>
        </a:graphic>
      </xdr:graphicFrame>
      <xdr:sp macro="" textlink="">
        <xdr:nvSpPr>
          <xdr:cNvPr id="72" name="Retângulo 71">
            <a:extLst>
              <a:ext uri="{FF2B5EF4-FFF2-40B4-BE49-F238E27FC236}">
                <a16:creationId xmlns:a16="http://schemas.microsoft.com/office/drawing/2014/main" id="{D56B2411-89E1-4297-91FF-51863649C5A7}"/>
              </a:ext>
            </a:extLst>
          </xdr:cNvPr>
          <xdr:cNvSpPr/>
        </xdr:nvSpPr>
        <xdr:spPr>
          <a:xfrm>
            <a:off x="2217963" y="4516212"/>
            <a:ext cx="3476626" cy="341539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pt-BR" sz="1200" baseline="0">
                <a:solidFill>
                  <a:schemeClr val="accent6"/>
                </a:solidFill>
              </a:rPr>
              <a:t> </a:t>
            </a:r>
            <a:r>
              <a:rPr lang="pt-BR" sz="1400" baseline="0">
                <a:solidFill>
                  <a:schemeClr val="bg1">
                    <a:lumMod val="85000"/>
                  </a:schemeClr>
                </a:solidFill>
              </a:rPr>
              <a:t>Total de vendas por estado em 2025 na loja</a:t>
            </a:r>
            <a:endParaRPr lang="pt-BR" sz="1400">
              <a:solidFill>
                <a:schemeClr val="bg1">
                  <a:lumMod val="85000"/>
                </a:schemeClr>
              </a:solidFill>
            </a:endParaRPr>
          </a:p>
        </xdr:txBody>
      </xdr:sp>
    </xdr:grpSp>
    <xdr:clientData/>
  </xdr:twoCellAnchor>
  <xdr:twoCellAnchor>
    <xdr:from>
      <xdr:col>10</xdr:col>
      <xdr:colOff>462645</xdr:colOff>
      <xdr:row>25</xdr:row>
      <xdr:rowOff>122461</xdr:rowOff>
    </xdr:from>
    <xdr:to>
      <xdr:col>21</xdr:col>
      <xdr:colOff>1</xdr:colOff>
      <xdr:row>40</xdr:row>
      <xdr:rowOff>190498</xdr:rowOff>
    </xdr:to>
    <xdr:graphicFrame macro="">
      <xdr:nvGraphicFramePr>
        <xdr:cNvPr id="78" name="Gráfico 77">
          <a:extLst>
            <a:ext uri="{FF2B5EF4-FFF2-40B4-BE49-F238E27FC236}">
              <a16:creationId xmlns:a16="http://schemas.microsoft.com/office/drawing/2014/main" id="{942BF3D1-7031-4294-A557-6A005DBBC2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12</xdr:col>
      <xdr:colOff>585107</xdr:colOff>
      <xdr:row>22</xdr:row>
      <xdr:rowOff>108859</xdr:rowOff>
    </xdr:from>
    <xdr:to>
      <xdr:col>18</xdr:col>
      <xdr:colOff>344455</xdr:colOff>
      <xdr:row>24</xdr:row>
      <xdr:rowOff>70511</xdr:rowOff>
    </xdr:to>
    <xdr:sp macro="" textlink="">
      <xdr:nvSpPr>
        <xdr:cNvPr id="79" name="Retângulo 78">
          <a:extLst>
            <a:ext uri="{FF2B5EF4-FFF2-40B4-BE49-F238E27FC236}">
              <a16:creationId xmlns:a16="http://schemas.microsoft.com/office/drawing/2014/main" id="{58086565-2851-4768-849C-B9DC74F521AF}"/>
            </a:ext>
          </a:extLst>
        </xdr:cNvPr>
        <xdr:cNvSpPr/>
      </xdr:nvSpPr>
      <xdr:spPr>
        <a:xfrm>
          <a:off x="7932964" y="4299859"/>
          <a:ext cx="3433277" cy="34265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200" baseline="0">
              <a:solidFill>
                <a:schemeClr val="accent6"/>
              </a:solidFill>
            </a:rPr>
            <a:t> </a:t>
          </a:r>
          <a:r>
            <a:rPr lang="pt-BR" sz="1400" baseline="0">
              <a:solidFill>
                <a:schemeClr val="bg1">
                  <a:lumMod val="85000"/>
                </a:schemeClr>
              </a:solidFill>
            </a:rPr>
            <a:t>Total de venda e qtd em 2025 na loja</a:t>
          </a:r>
          <a:endParaRPr lang="pt-BR" sz="1400">
            <a:solidFill>
              <a:schemeClr val="bg1">
                <a:lumMod val="85000"/>
              </a:schemeClr>
            </a:solidFill>
          </a:endParaRPr>
        </a:p>
      </xdr:txBody>
    </xdr:sp>
    <xdr:clientData/>
  </xdr:twoCellAnchor>
  <xdr:twoCellAnchor>
    <xdr:from>
      <xdr:col>7</xdr:col>
      <xdr:colOff>587833</xdr:colOff>
      <xdr:row>0</xdr:row>
      <xdr:rowOff>125186</xdr:rowOff>
    </xdr:from>
    <xdr:to>
      <xdr:col>11</xdr:col>
      <xdr:colOff>217716</xdr:colOff>
      <xdr:row>3</xdr:row>
      <xdr:rowOff>125185</xdr:rowOff>
    </xdr:to>
    <xdr:grpSp>
      <xdr:nvGrpSpPr>
        <xdr:cNvPr id="80" name="Agrupar 79">
          <a:extLst>
            <a:ext uri="{FF2B5EF4-FFF2-40B4-BE49-F238E27FC236}">
              <a16:creationId xmlns:a16="http://schemas.microsoft.com/office/drawing/2014/main" id="{1B465810-89F2-40F2-A7DA-8F238662278E}"/>
            </a:ext>
          </a:extLst>
        </xdr:cNvPr>
        <xdr:cNvGrpSpPr/>
      </xdr:nvGrpSpPr>
      <xdr:grpSpPr>
        <a:xfrm>
          <a:off x="4874083" y="125186"/>
          <a:ext cx="2079169" cy="571499"/>
          <a:chOff x="3279326" y="108858"/>
          <a:chExt cx="2079169" cy="571499"/>
        </a:xfrm>
      </xdr:grpSpPr>
      <xdr:sp macro="" textlink="">
        <xdr:nvSpPr>
          <xdr:cNvPr id="81" name="Retângulo 80">
            <a:extLst>
              <a:ext uri="{FF2B5EF4-FFF2-40B4-BE49-F238E27FC236}">
                <a16:creationId xmlns:a16="http://schemas.microsoft.com/office/drawing/2014/main" id="{321C7A8C-8930-9653-6F0E-9CD66EC3A39E}"/>
              </a:ext>
            </a:extLst>
          </xdr:cNvPr>
          <xdr:cNvSpPr/>
        </xdr:nvSpPr>
        <xdr:spPr>
          <a:xfrm>
            <a:off x="3537858" y="108858"/>
            <a:ext cx="1605643" cy="312964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pt-BR" sz="1300" baseline="0">
                <a:solidFill>
                  <a:schemeClr val="accent6"/>
                </a:solidFill>
              </a:rPr>
              <a:t>Receita  Líq. Total</a:t>
            </a:r>
            <a:endParaRPr lang="pt-BR" sz="1100">
              <a:solidFill>
                <a:schemeClr val="accent6"/>
              </a:solidFill>
            </a:endParaRPr>
          </a:p>
        </xdr:txBody>
      </xdr:sp>
      <xdr:sp macro="" textlink="TBs!Y12">
        <xdr:nvSpPr>
          <xdr:cNvPr id="82" name="Retângulo 81">
            <a:extLst>
              <a:ext uri="{FF2B5EF4-FFF2-40B4-BE49-F238E27FC236}">
                <a16:creationId xmlns:a16="http://schemas.microsoft.com/office/drawing/2014/main" id="{E66B65D7-ACC8-CC64-215A-2458307EF819}"/>
              </a:ext>
            </a:extLst>
          </xdr:cNvPr>
          <xdr:cNvSpPr/>
        </xdr:nvSpPr>
        <xdr:spPr>
          <a:xfrm>
            <a:off x="3279326" y="299356"/>
            <a:ext cx="2079169" cy="381001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390C5998-8E2C-4229-92A1-B814C8C1DD88}" type="TxLink">
              <a:rPr lang="en-US" sz="1800" b="1" i="0" u="none" strike="noStrike">
                <a:solidFill>
                  <a:schemeClr val="accent6"/>
                </a:solidFill>
                <a:latin typeface="Calibri"/>
                <a:ea typeface="Calibri"/>
                <a:cs typeface="Calibri"/>
              </a:rPr>
              <a:t> R$ 64.539 </a:t>
            </a:fld>
            <a:endParaRPr lang="pt-BR" sz="1800" b="1">
              <a:solidFill>
                <a:schemeClr val="accent6"/>
              </a:solidFill>
            </a:endParaRPr>
          </a:p>
        </xdr:txBody>
      </xdr:sp>
    </xdr:grpSp>
    <xdr:clientData/>
  </xdr:twoCellAnchor>
  <xdr:twoCellAnchor editAs="absolute">
    <xdr:from>
      <xdr:col>21</xdr:col>
      <xdr:colOff>231322</xdr:colOff>
      <xdr:row>25</xdr:row>
      <xdr:rowOff>95250</xdr:rowOff>
    </xdr:from>
    <xdr:to>
      <xdr:col>29</xdr:col>
      <xdr:colOff>323851</xdr:colOff>
      <xdr:row>39</xdr:row>
      <xdr:rowOff>171450</xdr:rowOff>
    </xdr:to>
    <xdr:graphicFrame macro="">
      <xdr:nvGraphicFramePr>
        <xdr:cNvPr id="83" name="Gráfico 82">
          <a:extLst>
            <a:ext uri="{FF2B5EF4-FFF2-40B4-BE49-F238E27FC236}">
              <a16:creationId xmlns:a16="http://schemas.microsoft.com/office/drawing/2014/main" id="{CD0B974F-2DA3-4084-BBC6-FDF73A39D1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21</xdr:col>
      <xdr:colOff>544285</xdr:colOff>
      <xdr:row>22</xdr:row>
      <xdr:rowOff>163286</xdr:rowOff>
    </xdr:from>
    <xdr:to>
      <xdr:col>29</xdr:col>
      <xdr:colOff>0</xdr:colOff>
      <xdr:row>24</xdr:row>
      <xdr:rowOff>124938</xdr:rowOff>
    </xdr:to>
    <xdr:sp macro="" textlink="">
      <xdr:nvSpPr>
        <xdr:cNvPr id="84" name="Retângulo 83">
          <a:extLst>
            <a:ext uri="{FF2B5EF4-FFF2-40B4-BE49-F238E27FC236}">
              <a16:creationId xmlns:a16="http://schemas.microsoft.com/office/drawing/2014/main" id="{CAE63F3A-2D38-4359-BC23-71FE0298C27A}"/>
            </a:ext>
          </a:extLst>
        </xdr:cNvPr>
        <xdr:cNvSpPr/>
      </xdr:nvSpPr>
      <xdr:spPr>
        <a:xfrm>
          <a:off x="13403035" y="4354286"/>
          <a:ext cx="4354286" cy="34265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200" baseline="0">
              <a:solidFill>
                <a:schemeClr val="accent6"/>
              </a:solidFill>
            </a:rPr>
            <a:t> </a:t>
          </a:r>
          <a:r>
            <a:rPr lang="pt-BR" sz="1400" baseline="0">
              <a:solidFill>
                <a:schemeClr val="bg1">
                  <a:lumMod val="85000"/>
                </a:schemeClr>
              </a:solidFill>
            </a:rPr>
            <a:t>Total de receita Liq. por artista em 2025 na loja</a:t>
          </a:r>
          <a:endParaRPr lang="pt-BR" sz="1400">
            <a:solidFill>
              <a:schemeClr val="bg1">
                <a:lumMod val="85000"/>
              </a:schemeClr>
            </a:solidFill>
          </a:endParaRPr>
        </a:p>
      </xdr:txBody>
    </xdr:sp>
    <xdr:clientData/>
  </xdr:twoCellAnchor>
  <xdr:twoCellAnchor>
    <xdr:from>
      <xdr:col>11</xdr:col>
      <xdr:colOff>0</xdr:colOff>
      <xdr:row>1</xdr:row>
      <xdr:rowOff>0</xdr:rowOff>
    </xdr:from>
    <xdr:to>
      <xdr:col>28</xdr:col>
      <xdr:colOff>0</xdr:colOff>
      <xdr:row>3</xdr:row>
      <xdr:rowOff>163286</xdr:rowOff>
    </xdr:to>
    <xdr:sp macro="" textlink="">
      <xdr:nvSpPr>
        <xdr:cNvPr id="85" name="Retângulo 84">
          <a:extLst>
            <a:ext uri="{FF2B5EF4-FFF2-40B4-BE49-F238E27FC236}">
              <a16:creationId xmlns:a16="http://schemas.microsoft.com/office/drawing/2014/main" id="{32BC6A56-A35D-44CF-8042-3B23F765AFE5}"/>
            </a:ext>
          </a:extLst>
        </xdr:cNvPr>
        <xdr:cNvSpPr/>
      </xdr:nvSpPr>
      <xdr:spPr>
        <a:xfrm>
          <a:off x="6735536" y="190500"/>
          <a:ext cx="10409464" cy="54428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r>
            <a:rPr lang="pt-BR" sz="1200" baseline="0">
              <a:solidFill>
                <a:schemeClr val="accent6"/>
              </a:solidFill>
            </a:rPr>
            <a:t> </a:t>
          </a:r>
          <a:r>
            <a:rPr lang="pt-BR" sz="3200" baseline="0">
              <a:solidFill>
                <a:schemeClr val="bg1">
                  <a:lumMod val="85000"/>
                </a:schemeClr>
              </a:solidFill>
              <a:latin typeface="Segoe UI" panose="020B0502040204020203" pitchFamily="34" charset="0"/>
              <a:cs typeface="Segoe UI" panose="020B0502040204020203" pitchFamily="34" charset="0"/>
            </a:rPr>
            <a:t>DASHBOARD - VENDAS DA LOJA VINYL SHOP EM 2025</a:t>
          </a:r>
          <a:endParaRPr lang="pt-BR" sz="3200">
            <a:solidFill>
              <a:schemeClr val="bg1">
                <a:lumMod val="85000"/>
              </a:schemeClr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17</xdr:col>
      <xdr:colOff>31032</xdr:colOff>
      <xdr:row>40</xdr:row>
      <xdr:rowOff>23197</xdr:rowOff>
    </xdr:from>
    <xdr:to>
      <xdr:col>30</xdr:col>
      <xdr:colOff>0</xdr:colOff>
      <xdr:row>42</xdr:row>
      <xdr:rowOff>0</xdr:rowOff>
    </xdr:to>
    <xdr:sp macro="" textlink="">
      <xdr:nvSpPr>
        <xdr:cNvPr id="86" name="Retângulo 85">
          <a:extLst>
            <a:ext uri="{FF2B5EF4-FFF2-40B4-BE49-F238E27FC236}">
              <a16:creationId xmlns:a16="http://schemas.microsoft.com/office/drawing/2014/main" id="{F685EAC5-EE88-4B3B-92BF-B819D97C282C}"/>
            </a:ext>
          </a:extLst>
        </xdr:cNvPr>
        <xdr:cNvSpPr/>
      </xdr:nvSpPr>
      <xdr:spPr>
        <a:xfrm>
          <a:off x="10440496" y="7643197"/>
          <a:ext cx="7929147" cy="35780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r"/>
          <a:r>
            <a:rPr lang="pt-BR" sz="1200" baseline="0">
              <a:solidFill>
                <a:schemeClr val="bg1">
                  <a:lumMod val="95000"/>
                </a:schemeClr>
              </a:solidFill>
            </a:rPr>
            <a:t> </a:t>
          </a:r>
          <a:r>
            <a:rPr lang="pt-BR" sz="1200" baseline="0">
              <a:solidFill>
                <a:schemeClr val="bg1">
                  <a:lumMod val="75000"/>
                </a:schemeClr>
              </a:solidFill>
            </a:rPr>
            <a:t>Período de apuração de 01/01/2025 - 17/10/2025 | Atualizado em 18/10/2025</a:t>
          </a:r>
          <a:endParaRPr lang="pt-BR" sz="1200">
            <a:solidFill>
              <a:schemeClr val="bg1">
                <a:lumMod val="75000"/>
              </a:schemeClr>
            </a:solidFill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tricia Valeria" refreshedDate="45948.679414467595" createdVersion="8" refreshedVersion="8" minRefreshableVersion="3" recordCount="100" xr:uid="{C0FAD0A9-FBD9-492A-8805-D14130566FCC}">
  <cacheSource type="worksheet">
    <worksheetSource ref="A1:N101" sheet="Base de Dados"/>
  </cacheSource>
  <cacheFields count="16">
    <cacheField name="Nome" numFmtId="0">
      <sharedItems/>
    </cacheField>
    <cacheField name="Sexo" numFmtId="0">
      <sharedItems count="2">
        <s v="Feminino"/>
        <s v="Masculino"/>
      </sharedItems>
    </cacheField>
    <cacheField name="Idade" numFmtId="0">
      <sharedItems containsSemiMixedTypes="0" containsString="0" containsNumber="1" containsInteger="1" minValue="16" maxValue="59"/>
    </cacheField>
    <cacheField name="Estado" numFmtId="0">
      <sharedItems count="12">
        <s v="RJ"/>
        <s v="RS"/>
        <s v="PR"/>
        <s v="DF"/>
        <s v="PE"/>
        <s v="BA"/>
        <s v="PA"/>
        <s v="MG"/>
        <s v="GO"/>
        <s v="SC"/>
        <s v="SP"/>
        <s v="CE"/>
      </sharedItems>
    </cacheField>
    <cacheField name="Cidade" numFmtId="0">
      <sharedItems/>
    </cacheField>
    <cacheField name="Quantidade Vendida" numFmtId="0">
      <sharedItems containsSemiMixedTypes="0" containsString="0" containsNumber="1" containsInteger="1" minValue="1" maxValue="6"/>
    </cacheField>
    <cacheField name="Preço Unitário (R$)" numFmtId="164">
      <sharedItems containsSemiMixedTypes="0" containsString="0" containsNumber="1" containsInteger="1" minValue="155" maxValue="340"/>
    </cacheField>
    <cacheField name="Data" numFmtId="14">
      <sharedItems containsSemiMixedTypes="0" containsNonDate="0" containsDate="1" containsString="0" minDate="2025-01-05T00:00:00" maxDate="2025-10-19T00:00:00" count="91">
        <d v="2025-01-05T00:00:00"/>
        <d v="2025-01-06T00:00:00"/>
        <d v="2025-01-07T00:00:00"/>
        <d v="2025-02-10T00:00:00"/>
        <d v="2025-02-11T00:00:00"/>
        <d v="2025-02-12T00:00:00"/>
        <d v="2025-03-03T00:00:00"/>
        <d v="2025-03-04T00:00:00"/>
        <d v="2025-03-05T00:00:00"/>
        <d v="2025-03-06T00:00:00"/>
        <d v="2025-04-05T00:00:00"/>
        <d v="2025-04-06T00:00:00"/>
        <d v="2025-04-07T00:00:00"/>
        <d v="2025-04-08T00:00:00"/>
        <d v="2025-04-09T00:00:00"/>
        <d v="2025-04-10T00:00:00"/>
        <d v="2025-04-11T00:00:00"/>
        <d v="2025-05-03T00:00:00"/>
        <d v="2025-05-06T00:00:00"/>
        <d v="2025-05-10T00:00:00"/>
        <d v="2025-05-11T00:00:00"/>
        <d v="2025-05-12T00:00:00"/>
        <d v="2025-05-13T00:00:00"/>
        <d v="2025-05-14T00:00:00"/>
        <d v="2025-05-15T00:00:00"/>
        <d v="2025-05-16T00:00:00"/>
        <d v="2025-05-17T00:00:00"/>
        <d v="2025-05-18T00:00:00"/>
        <d v="2025-05-19T00:00:00"/>
        <d v="2025-06-07T00:00:00"/>
        <d v="2025-06-08T00:00:00"/>
        <d v="2025-06-09T00:00:00"/>
        <d v="2025-06-10T00:00:00"/>
        <d v="2025-06-11T00:00:00"/>
        <d v="2025-06-12T00:00:00"/>
        <d v="2025-06-13T00:00:00"/>
        <d v="2025-06-14T00:00:00"/>
        <d v="2025-06-15T00:00:00"/>
        <d v="2025-06-16T00:00:00"/>
        <d v="2025-06-17T00:00:00"/>
        <d v="2025-06-18T00:00:00"/>
        <d v="2025-06-19T00:00:00"/>
        <d v="2025-07-05T00:00:00"/>
        <d v="2025-07-12T00:00:00"/>
        <d v="2025-07-20T00:00:00"/>
        <d v="2025-07-27T00:00:00"/>
        <d v="2025-08-04T00:00:00"/>
        <d v="2025-08-11T00:00:00"/>
        <d v="2025-08-19T00:00:00"/>
        <d v="2025-08-26T00:00:00"/>
        <d v="2025-09-03T00:00:00"/>
        <d v="2025-09-10T00:00:00"/>
        <d v="2025-09-18T00:00:00"/>
        <d v="2025-09-25T00:00:00"/>
        <d v="2025-10-03T00:00:00"/>
        <d v="2025-10-10T00:00:00"/>
        <d v="2025-10-18T00:00:00"/>
        <d v="2025-02-05T00:00:00"/>
        <d v="2025-01-08T00:00:00"/>
        <d v="2025-01-09T00:00:00"/>
        <d v="2025-01-10T00:00:00"/>
        <d v="2025-01-11T00:00:00"/>
        <d v="2025-01-12T00:00:00"/>
        <d v="2025-01-13T00:00:00"/>
        <d v="2025-01-14T00:00:00"/>
        <d v="2025-01-15T00:00:00"/>
        <d v="2025-01-16T00:00:00"/>
        <d v="2025-01-17T00:00:00"/>
        <d v="2025-10-07T00:00:00"/>
        <d v="2025-10-08T00:00:00"/>
        <d v="2025-10-09T00:00:00"/>
        <d v="2025-10-11T00:00:00"/>
        <d v="2025-10-12T00:00:00"/>
        <d v="2025-10-13T00:00:00"/>
        <d v="2025-02-06T00:00:00"/>
        <d v="2025-02-07T00:00:00"/>
        <d v="2025-02-08T00:00:00"/>
        <d v="2025-02-09T00:00:00"/>
        <d v="2025-02-13T00:00:00"/>
        <d v="2025-02-14T00:00:00"/>
        <d v="2025-02-15T00:00:00"/>
        <d v="2025-02-16T00:00:00"/>
        <d v="2025-02-17T00:00:00"/>
        <d v="2025-02-18T00:00:00"/>
        <d v="2025-02-19T00:00:00"/>
        <d v="2025-03-07T00:00:00"/>
        <d v="2025-03-08T00:00:00"/>
        <d v="2025-03-09T00:00:00"/>
        <d v="2025-03-10T00:00:00"/>
        <d v="2025-03-11T00:00:00"/>
        <d v="2025-03-12T00:00:00"/>
      </sharedItems>
      <fieldGroup par="15"/>
    </cacheField>
    <cacheField name="Mês" numFmtId="14">
      <sharedItems/>
    </cacheField>
    <cacheField name="Título do Vinil" numFmtId="0">
      <sharedItems count="30">
        <s v="Led Zeppelin IV"/>
        <s v="Rádio Pirata Ao Vivo"/>
        <s v="Gita"/>
        <s v="Let It Bleed"/>
        <s v="OK Computer"/>
        <s v="Ideologia"/>
        <s v="Hybrid Theory (Deluxe)"/>
        <s v="Appetite for Destruction"/>
        <s v="Houses of the Holy"/>
        <s v="Revolver"/>
        <s v="Nevermind"/>
        <s v="Wish You Were Here"/>
        <s v="Cabeça Dinossauro"/>
        <s v="A Night at the Opera"/>
        <s v="Master of Puppets"/>
        <s v="A Divina Comédia ou Ando Meio Desligado"/>
        <s v="The Dark Side of the Moon"/>
        <s v="The Wall"/>
        <s v="Selvagem?"/>
        <s v="O Papa É Pop"/>
        <s v="Some Girls"/>
        <s v="Fruto Proibido"/>
        <s v="Abbey Road"/>
        <s v="In Through the Out Door"/>
        <s v="Back in Black"/>
        <s v="Maior Abandonado"/>
        <s v="Hybrid Theory"/>
        <s v="Physical Graffiti"/>
        <s v="Ten"/>
        <s v="Dois"/>
      </sharedItems>
    </cacheField>
    <cacheField name="Artista" numFmtId="164">
      <sharedItems count="22">
        <s v="Led Zeppelin"/>
        <s v="RPM"/>
        <s v="Raul Seixas"/>
        <s v="The Rolling Stones"/>
        <s v="Radiohead"/>
        <s v="Cazuza"/>
        <s v="Linkin Park"/>
        <s v="Guns N' Roses"/>
        <s v="The Beatles"/>
        <s v="Nirvana"/>
        <s v="Pink Floyd"/>
        <s v="Titãs"/>
        <s v="Queen"/>
        <s v="Metallica"/>
        <s v="Os Mutantes"/>
        <s v="Os Paralamas do Sucesso"/>
        <s v="Engenheiros do Hawaii"/>
        <s v="Rita Lee"/>
        <s v="AC/DC"/>
        <s v="Barão Vermelho"/>
        <s v="Pearl Jam"/>
        <s v="Legião Urbana"/>
      </sharedItems>
    </cacheField>
    <cacheField name="Receita (R$)" numFmtId="0">
      <sharedItems containsSemiMixedTypes="0" containsString="0" containsNumber="1" containsInteger="1" minValue="160" maxValue="2040"/>
    </cacheField>
    <cacheField name="Faixa Etária" numFmtId="0">
      <sharedItems count="5">
        <s v="25-34"/>
        <s v="35-44"/>
        <s v="16-24"/>
        <s v="45-54"/>
        <s v="55+"/>
      </sharedItems>
    </cacheField>
    <cacheField name="Receita Líquida" numFmtId="0">
      <sharedItems containsSemiMixedTypes="0" containsString="0" containsNumber="1" minValue="121.6" maxValue="1550.4"/>
    </cacheField>
    <cacheField name="Dias (Data)" numFmtId="0" databaseField="0">
      <fieldGroup base="7">
        <rangePr groupBy="days" startDate="2025-01-05T00:00:00" endDate="2025-10-19T00:00:00"/>
        <groupItems count="368">
          <s v="&lt;05/01/2025"/>
          <s v="01/jan"/>
          <s v="02/jan"/>
          <s v="03/jan"/>
          <s v="04/jan"/>
          <s v="05/jan"/>
          <s v="06/jan"/>
          <s v="07/jan"/>
          <s v="08/jan"/>
          <s v="09/jan"/>
          <s v="10/jan"/>
          <s v="11/jan"/>
          <s v="12/jan"/>
          <s v="13/jan"/>
          <s v="14/jan"/>
          <s v="15/jan"/>
          <s v="16/jan"/>
          <s v="17/jan"/>
          <s v="18/jan"/>
          <s v="19/jan"/>
          <s v="20/jan"/>
          <s v="21/jan"/>
          <s v="22/jan"/>
          <s v="23/jan"/>
          <s v="24/jan"/>
          <s v="25/jan"/>
          <s v="26/jan"/>
          <s v="27/jan"/>
          <s v="28/jan"/>
          <s v="29/jan"/>
          <s v="30/jan"/>
          <s v="31/jan"/>
          <s v="01/fev"/>
          <s v="02/fev"/>
          <s v="03/fev"/>
          <s v="04/fev"/>
          <s v="05/fev"/>
          <s v="06/fev"/>
          <s v="07/fev"/>
          <s v="08/fev"/>
          <s v="09/fev"/>
          <s v="10/fev"/>
          <s v="11/fev"/>
          <s v="12/fev"/>
          <s v="13/fev"/>
          <s v="14/fev"/>
          <s v="15/fev"/>
          <s v="16/fev"/>
          <s v="17/fev"/>
          <s v="18/fev"/>
          <s v="19/fev"/>
          <s v="20/fev"/>
          <s v="21/fev"/>
          <s v="22/fev"/>
          <s v="23/fev"/>
          <s v="24/fev"/>
          <s v="25/fev"/>
          <s v="26/fev"/>
          <s v="27/fev"/>
          <s v="28/fev"/>
          <s v="29/fev"/>
          <s v="01/mar"/>
          <s v="02/mar"/>
          <s v="03/mar"/>
          <s v="04/mar"/>
          <s v="05/mar"/>
          <s v="06/mar"/>
          <s v="07/mar"/>
          <s v="08/mar"/>
          <s v="09/mar"/>
          <s v="10/mar"/>
          <s v="11/mar"/>
          <s v="12/mar"/>
          <s v="13/mar"/>
          <s v="14/mar"/>
          <s v="15/mar"/>
          <s v="16/mar"/>
          <s v="17/mar"/>
          <s v="18/mar"/>
          <s v="19/mar"/>
          <s v="20/mar"/>
          <s v="21/mar"/>
          <s v="22/mar"/>
          <s v="23/mar"/>
          <s v="24/mar"/>
          <s v="25/mar"/>
          <s v="26/mar"/>
          <s v="27/mar"/>
          <s v="28/mar"/>
          <s v="29/mar"/>
          <s v="30/mar"/>
          <s v="31/mar"/>
          <s v="01/abr"/>
          <s v="02/abr"/>
          <s v="03/abr"/>
          <s v="04/abr"/>
          <s v="05/abr"/>
          <s v="06/abr"/>
          <s v="07/abr"/>
          <s v="08/abr"/>
          <s v="09/abr"/>
          <s v="10/abr"/>
          <s v="11/abr"/>
          <s v="12/abr"/>
          <s v="13/abr"/>
          <s v="14/abr"/>
          <s v="15/abr"/>
          <s v="16/abr"/>
          <s v="17/abr"/>
          <s v="18/abr"/>
          <s v="19/abr"/>
          <s v="20/abr"/>
          <s v="21/abr"/>
          <s v="22/abr"/>
          <s v="23/abr"/>
          <s v="24/abr"/>
          <s v="25/abr"/>
          <s v="26/abr"/>
          <s v="27/abr"/>
          <s v="28/abr"/>
          <s v="29/abr"/>
          <s v="30/abr"/>
          <s v="01/mai"/>
          <s v="02/mai"/>
          <s v="03/mai"/>
          <s v="04/mai"/>
          <s v="05/mai"/>
          <s v="06/mai"/>
          <s v="07/mai"/>
          <s v="08/mai"/>
          <s v="09/mai"/>
          <s v="10/mai"/>
          <s v="11/mai"/>
          <s v="12/mai"/>
          <s v="13/mai"/>
          <s v="14/mai"/>
          <s v="15/mai"/>
          <s v="16/mai"/>
          <s v="17/mai"/>
          <s v="18/mai"/>
          <s v="19/mai"/>
          <s v="20/mai"/>
          <s v="21/mai"/>
          <s v="22/mai"/>
          <s v="23/mai"/>
          <s v="24/mai"/>
          <s v="25/mai"/>
          <s v="26/mai"/>
          <s v="27/mai"/>
          <s v="28/mai"/>
          <s v="29/mai"/>
          <s v="30/mai"/>
          <s v="31/mai"/>
          <s v="01/jun"/>
          <s v="02/jun"/>
          <s v="03/jun"/>
          <s v="04/jun"/>
          <s v="05/jun"/>
          <s v="06/jun"/>
          <s v="07/jun"/>
          <s v="08/jun"/>
          <s v="09/jun"/>
          <s v="10/jun"/>
          <s v="11/jun"/>
          <s v="12/jun"/>
          <s v="13/jun"/>
          <s v="14/jun"/>
          <s v="15/jun"/>
          <s v="16/jun"/>
          <s v="17/jun"/>
          <s v="18/jun"/>
          <s v="19/jun"/>
          <s v="20/jun"/>
          <s v="21/jun"/>
          <s v="22/jun"/>
          <s v="23/jun"/>
          <s v="24/jun"/>
          <s v="25/jun"/>
          <s v="26/jun"/>
          <s v="27/jun"/>
          <s v="28/jun"/>
          <s v="29/jun"/>
          <s v="30/jun"/>
          <s v="01/jul"/>
          <s v="02/jul"/>
          <s v="03/jul"/>
          <s v="04/jul"/>
          <s v="05/jul"/>
          <s v="06/jul"/>
          <s v="07/jul"/>
          <s v="08/jul"/>
          <s v="09/jul"/>
          <s v="10/jul"/>
          <s v="11/jul"/>
          <s v="12/jul"/>
          <s v="13/jul"/>
          <s v="14/jul"/>
          <s v="15/jul"/>
          <s v="16/jul"/>
          <s v="17/jul"/>
          <s v="18/jul"/>
          <s v="19/jul"/>
          <s v="20/jul"/>
          <s v="21/jul"/>
          <s v="22/jul"/>
          <s v="23/jul"/>
          <s v="24/jul"/>
          <s v="25/jul"/>
          <s v="26/jul"/>
          <s v="27/jul"/>
          <s v="28/jul"/>
          <s v="29/jul"/>
          <s v="30/jul"/>
          <s v="31/jul"/>
          <s v="01/ago"/>
          <s v="02/ago"/>
          <s v="03/ago"/>
          <s v="04/ago"/>
          <s v="05/ago"/>
          <s v="06/ago"/>
          <s v="07/ago"/>
          <s v="08/ago"/>
          <s v="09/ago"/>
          <s v="10/ago"/>
          <s v="11/ago"/>
          <s v="12/ago"/>
          <s v="13/ago"/>
          <s v="14/ago"/>
          <s v="15/ago"/>
          <s v="16/ago"/>
          <s v="17/ago"/>
          <s v="18/ago"/>
          <s v="19/ago"/>
          <s v="20/ago"/>
          <s v="21/ago"/>
          <s v="22/ago"/>
          <s v="23/ago"/>
          <s v="24/ago"/>
          <s v="25/ago"/>
          <s v="26/ago"/>
          <s v="27/ago"/>
          <s v="28/ago"/>
          <s v="29/ago"/>
          <s v="30/ago"/>
          <s v="31/ago"/>
          <s v="01/set"/>
          <s v="02/set"/>
          <s v="03/set"/>
          <s v="04/set"/>
          <s v="05/set"/>
          <s v="06/set"/>
          <s v="07/set"/>
          <s v="08/set"/>
          <s v="09/set"/>
          <s v="10/set"/>
          <s v="11/set"/>
          <s v="12/set"/>
          <s v="13/set"/>
          <s v="14/set"/>
          <s v="15/set"/>
          <s v="16/set"/>
          <s v="17/set"/>
          <s v="18/set"/>
          <s v="19/set"/>
          <s v="20/set"/>
          <s v="21/set"/>
          <s v="22/set"/>
          <s v="23/set"/>
          <s v="24/set"/>
          <s v="25/set"/>
          <s v="26/set"/>
          <s v="27/set"/>
          <s v="28/set"/>
          <s v="29/set"/>
          <s v="30/set"/>
          <s v="01/out"/>
          <s v="02/out"/>
          <s v="03/out"/>
          <s v="04/out"/>
          <s v="05/out"/>
          <s v="06/out"/>
          <s v="07/out"/>
          <s v="08/out"/>
          <s v="09/out"/>
          <s v="10/out"/>
          <s v="11/out"/>
          <s v="12/out"/>
          <s v="13/out"/>
          <s v="14/out"/>
          <s v="15/out"/>
          <s v="16/out"/>
          <s v="17/out"/>
          <s v="18/out"/>
          <s v="19/out"/>
          <s v="20/out"/>
          <s v="21/out"/>
          <s v="22/out"/>
          <s v="23/out"/>
          <s v="24/out"/>
          <s v="25/out"/>
          <s v="26/out"/>
          <s v="27/out"/>
          <s v="28/out"/>
          <s v="29/out"/>
          <s v="30/out"/>
          <s v="31/out"/>
          <s v="01/nov"/>
          <s v="02/nov"/>
          <s v="03/nov"/>
          <s v="04/nov"/>
          <s v="05/nov"/>
          <s v="06/nov"/>
          <s v="07/nov"/>
          <s v="08/nov"/>
          <s v="09/nov"/>
          <s v="10/nov"/>
          <s v="11/nov"/>
          <s v="12/nov"/>
          <s v="13/nov"/>
          <s v="14/nov"/>
          <s v="15/nov"/>
          <s v="16/nov"/>
          <s v="17/nov"/>
          <s v="18/nov"/>
          <s v="19/nov"/>
          <s v="20/nov"/>
          <s v="21/nov"/>
          <s v="22/nov"/>
          <s v="23/nov"/>
          <s v="24/nov"/>
          <s v="25/nov"/>
          <s v="26/nov"/>
          <s v="27/nov"/>
          <s v="28/nov"/>
          <s v="29/nov"/>
          <s v="30/nov"/>
          <s v="01/dez"/>
          <s v="02/dez"/>
          <s v="03/dez"/>
          <s v="04/dez"/>
          <s v="05/dez"/>
          <s v="06/dez"/>
          <s v="07/dez"/>
          <s v="08/dez"/>
          <s v="09/dez"/>
          <s v="10/dez"/>
          <s v="11/dez"/>
          <s v="12/dez"/>
          <s v="13/dez"/>
          <s v="14/dez"/>
          <s v="15/dez"/>
          <s v="16/dez"/>
          <s v="17/dez"/>
          <s v="18/dez"/>
          <s v="19/dez"/>
          <s v="20/dez"/>
          <s v="21/dez"/>
          <s v="22/dez"/>
          <s v="23/dez"/>
          <s v="24/dez"/>
          <s v="25/dez"/>
          <s v="26/dez"/>
          <s v="27/dez"/>
          <s v="28/dez"/>
          <s v="29/dez"/>
          <s v="30/dez"/>
          <s v="31/dez"/>
          <s v="&gt;19/10/2025"/>
        </groupItems>
      </fieldGroup>
    </cacheField>
    <cacheField name="Meses (Data)" numFmtId="0" databaseField="0">
      <fieldGroup base="7">
        <rangePr groupBy="months" startDate="2025-01-05T00:00:00" endDate="2025-10-19T00:00:00"/>
        <groupItems count="14">
          <s v="&lt;05/01/2025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19/10/2025"/>
        </groupItems>
      </fieldGroup>
    </cacheField>
  </cacheFields>
  <extLst>
    <ext xmlns:x14="http://schemas.microsoft.com/office/spreadsheetml/2009/9/main" uri="{725AE2AE-9491-48be-B2B4-4EB974FC3084}">
      <x14:pivotCacheDefinition pivotCacheId="1562064338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s v="Fernanda Silva"/>
    <x v="0"/>
    <n v="34"/>
    <x v="0"/>
    <s v="Duque de Caxias"/>
    <n v="5"/>
    <n v="270"/>
    <x v="0"/>
    <s v="Janeiro"/>
    <x v="0"/>
    <x v="0"/>
    <n v="1350"/>
    <x v="0"/>
    <n v="1026"/>
  </r>
  <r>
    <s v="Paula Santos"/>
    <x v="1"/>
    <n v="39"/>
    <x v="1"/>
    <s v="Caxias do Sul"/>
    <n v="5"/>
    <n v="165"/>
    <x v="1"/>
    <s v="Janeiro"/>
    <x v="1"/>
    <x v="1"/>
    <n v="825"/>
    <x v="1"/>
    <n v="627"/>
  </r>
  <r>
    <s v="Maria Rocha"/>
    <x v="1"/>
    <n v="26"/>
    <x v="1"/>
    <s v="Santa Maria"/>
    <n v="3"/>
    <n v="200"/>
    <x v="2"/>
    <s v="Janeiro"/>
    <x v="2"/>
    <x v="2"/>
    <n v="600"/>
    <x v="0"/>
    <n v="456"/>
  </r>
  <r>
    <s v="João Costa"/>
    <x v="0"/>
    <n v="23"/>
    <x v="2"/>
    <s v="Maringá"/>
    <n v="2"/>
    <n v="280"/>
    <x v="3"/>
    <s v="Fevereiro"/>
    <x v="3"/>
    <x v="3"/>
    <n v="560"/>
    <x v="2"/>
    <n v="425.6"/>
  </r>
  <r>
    <s v="Renata Souza"/>
    <x v="1"/>
    <n v="49"/>
    <x v="3"/>
    <s v="Brasília"/>
    <n v="1"/>
    <n v="330"/>
    <x v="4"/>
    <s v="Fevereiro"/>
    <x v="4"/>
    <x v="4"/>
    <n v="330"/>
    <x v="3"/>
    <n v="250.8"/>
  </r>
  <r>
    <s v="Carolina Rocha"/>
    <x v="1"/>
    <n v="45"/>
    <x v="4"/>
    <s v="Recife"/>
    <n v="3"/>
    <n v="185"/>
    <x v="5"/>
    <s v="Fevereiro"/>
    <x v="5"/>
    <x v="5"/>
    <n v="555"/>
    <x v="3"/>
    <n v="421.8"/>
  </r>
  <r>
    <s v="Sabrina Dias"/>
    <x v="1"/>
    <n v="47"/>
    <x v="5"/>
    <s v="Salvador"/>
    <n v="2"/>
    <n v="260"/>
    <x v="6"/>
    <s v="Março"/>
    <x v="6"/>
    <x v="6"/>
    <n v="520"/>
    <x v="3"/>
    <n v="395.2"/>
  </r>
  <r>
    <s v="Lucas Barbosa"/>
    <x v="1"/>
    <n v="40"/>
    <x v="6"/>
    <s v="Santarém"/>
    <n v="3"/>
    <n v="310"/>
    <x v="7"/>
    <s v="Março"/>
    <x v="7"/>
    <x v="7"/>
    <n v="930"/>
    <x v="1"/>
    <n v="706.8"/>
  </r>
  <r>
    <s v="Eduardo Rodrigues"/>
    <x v="0"/>
    <n v="29"/>
    <x v="0"/>
    <s v="Duque de Caxias"/>
    <n v="2"/>
    <n v="265"/>
    <x v="8"/>
    <s v="Março"/>
    <x v="8"/>
    <x v="0"/>
    <n v="530"/>
    <x v="0"/>
    <n v="402.8"/>
  </r>
  <r>
    <s v="Vitor Almeida"/>
    <x v="1"/>
    <n v="19"/>
    <x v="4"/>
    <s v="Caruaru"/>
    <n v="6"/>
    <n v="245"/>
    <x v="9"/>
    <s v="Março"/>
    <x v="9"/>
    <x v="8"/>
    <n v="1470"/>
    <x v="2"/>
    <n v="1117.2"/>
  </r>
  <r>
    <s v="Gabriela Almeida"/>
    <x v="0"/>
    <n v="43"/>
    <x v="1"/>
    <s v="Porto Alegre"/>
    <n v="3"/>
    <n v="330"/>
    <x v="10"/>
    <s v="Abril"/>
    <x v="4"/>
    <x v="4"/>
    <n v="990"/>
    <x v="1"/>
    <n v="752.4"/>
  </r>
  <r>
    <s v="Vanessa Nascimento"/>
    <x v="1"/>
    <n v="19"/>
    <x v="3"/>
    <s v="Brasília"/>
    <n v="6"/>
    <n v="290"/>
    <x v="11"/>
    <s v="Abril"/>
    <x v="10"/>
    <x v="9"/>
    <n v="1740"/>
    <x v="2"/>
    <n v="1322.4"/>
  </r>
  <r>
    <s v="Ariadne Barbosa"/>
    <x v="0"/>
    <n v="30"/>
    <x v="7"/>
    <s v="Uberlândia"/>
    <n v="5"/>
    <n v="305"/>
    <x v="12"/>
    <s v="Abril"/>
    <x v="11"/>
    <x v="10"/>
    <n v="1525"/>
    <x v="0"/>
    <n v="1159"/>
  </r>
  <r>
    <s v="Vitor Nascimento"/>
    <x v="0"/>
    <n v="29"/>
    <x v="4"/>
    <s v="Petrolina"/>
    <n v="2"/>
    <n v="170"/>
    <x v="13"/>
    <s v="Abril"/>
    <x v="12"/>
    <x v="11"/>
    <n v="340"/>
    <x v="0"/>
    <n v="258.39999999999998"/>
  </r>
  <r>
    <s v="Rafael Martins"/>
    <x v="0"/>
    <n v="34"/>
    <x v="7"/>
    <s v="Uberlândia"/>
    <n v="6"/>
    <n v="330"/>
    <x v="14"/>
    <s v="Abril"/>
    <x v="4"/>
    <x v="4"/>
    <n v="1980"/>
    <x v="0"/>
    <n v="1504.8"/>
  </r>
  <r>
    <s v="Paula Moreira"/>
    <x v="1"/>
    <n v="16"/>
    <x v="4"/>
    <s v="Petrolina"/>
    <n v="3"/>
    <n v="165"/>
    <x v="15"/>
    <s v="Abril"/>
    <x v="1"/>
    <x v="1"/>
    <n v="495"/>
    <x v="2"/>
    <n v="376.2"/>
  </r>
  <r>
    <s v="Gabriela Silva"/>
    <x v="0"/>
    <n v="49"/>
    <x v="5"/>
    <s v="Ilhéus"/>
    <n v="3"/>
    <n v="260"/>
    <x v="16"/>
    <s v="Abril"/>
    <x v="13"/>
    <x v="12"/>
    <n v="780"/>
    <x v="3"/>
    <n v="592.79999999999995"/>
  </r>
  <r>
    <s v="Paula Costa"/>
    <x v="1"/>
    <n v="47"/>
    <x v="8"/>
    <s v="Catalão"/>
    <n v="5"/>
    <n v="320"/>
    <x v="17"/>
    <s v="Maio"/>
    <x v="14"/>
    <x v="13"/>
    <n v="1600"/>
    <x v="3"/>
    <n v="1216"/>
  </r>
  <r>
    <s v="Patrícia Martins"/>
    <x v="0"/>
    <n v="39"/>
    <x v="6"/>
    <s v="Marabá"/>
    <n v="2"/>
    <n v="195"/>
    <x v="18"/>
    <s v="Maio"/>
    <x v="15"/>
    <x v="14"/>
    <n v="390"/>
    <x v="1"/>
    <n v="296.39999999999998"/>
  </r>
  <r>
    <s v="Camila Gomes"/>
    <x v="0"/>
    <n v="27"/>
    <x v="9"/>
    <s v="Florianópolis"/>
    <n v="3"/>
    <n v="195"/>
    <x v="19"/>
    <s v="Maio"/>
    <x v="15"/>
    <x v="14"/>
    <n v="585"/>
    <x v="0"/>
    <n v="444.6"/>
  </r>
  <r>
    <s v="Ariadne Silva"/>
    <x v="1"/>
    <n v="16"/>
    <x v="5"/>
    <s v="Feira de Santana"/>
    <n v="2"/>
    <n v="300"/>
    <x v="20"/>
    <s v="Maio"/>
    <x v="16"/>
    <x v="10"/>
    <n v="600"/>
    <x v="2"/>
    <n v="456"/>
  </r>
  <r>
    <s v="Juliana Oliveira"/>
    <x v="0"/>
    <n v="56"/>
    <x v="0"/>
    <s v="Duque de Caxias"/>
    <n v="2"/>
    <n v="340"/>
    <x v="21"/>
    <s v="Maio"/>
    <x v="17"/>
    <x v="10"/>
    <n v="680"/>
    <x v="4"/>
    <n v="516.79999999999995"/>
  </r>
  <r>
    <s v="Rafael Fernandes"/>
    <x v="0"/>
    <n v="40"/>
    <x v="3"/>
    <s v="Brasília"/>
    <n v="5"/>
    <n v="290"/>
    <x v="22"/>
    <s v="Maio"/>
    <x v="10"/>
    <x v="9"/>
    <n v="1450"/>
    <x v="1"/>
    <n v="1102"/>
  </r>
  <r>
    <s v="Gustavo Lima"/>
    <x v="1"/>
    <n v="44"/>
    <x v="6"/>
    <s v="Marabá"/>
    <n v="4"/>
    <n v="170"/>
    <x v="23"/>
    <s v="Maio"/>
    <x v="12"/>
    <x v="11"/>
    <n v="680"/>
    <x v="1"/>
    <n v="516.79999999999995"/>
  </r>
  <r>
    <s v="Marta Carvalho"/>
    <x v="1"/>
    <n v="35"/>
    <x v="3"/>
    <s v="Brasília"/>
    <n v="2"/>
    <n v="200"/>
    <x v="24"/>
    <s v="Maio"/>
    <x v="2"/>
    <x v="2"/>
    <n v="400"/>
    <x v="1"/>
    <n v="304"/>
  </r>
  <r>
    <s v="João Oliveira"/>
    <x v="0"/>
    <n v="42"/>
    <x v="10"/>
    <s v="Campinas"/>
    <n v="1"/>
    <n v="270"/>
    <x v="25"/>
    <s v="Maio"/>
    <x v="0"/>
    <x v="0"/>
    <n v="270"/>
    <x v="1"/>
    <n v="205.2"/>
  </r>
  <r>
    <s v="Renata Oliveira"/>
    <x v="0"/>
    <n v="31"/>
    <x v="9"/>
    <s v="Joinville"/>
    <n v="5"/>
    <n v="305"/>
    <x v="26"/>
    <s v="Maio"/>
    <x v="11"/>
    <x v="10"/>
    <n v="1525"/>
    <x v="0"/>
    <n v="1159"/>
  </r>
  <r>
    <s v="Marcos Almeida"/>
    <x v="0"/>
    <n v="45"/>
    <x v="4"/>
    <s v="Olinda"/>
    <n v="1"/>
    <n v="260"/>
    <x v="27"/>
    <s v="Maio"/>
    <x v="13"/>
    <x v="12"/>
    <n v="260"/>
    <x v="3"/>
    <n v="197.6"/>
  </r>
  <r>
    <s v="Paula Gomes"/>
    <x v="1"/>
    <n v="18"/>
    <x v="6"/>
    <s v="Marabá"/>
    <n v="1"/>
    <n v="265"/>
    <x v="28"/>
    <s v="Maio"/>
    <x v="8"/>
    <x v="0"/>
    <n v="265"/>
    <x v="2"/>
    <n v="201.4"/>
  </r>
  <r>
    <s v="Ana Barbosa"/>
    <x v="0"/>
    <n v="37"/>
    <x v="0"/>
    <s v="Niterói"/>
    <n v="2"/>
    <n v="290"/>
    <x v="29"/>
    <s v="Junho"/>
    <x v="10"/>
    <x v="9"/>
    <n v="580"/>
    <x v="1"/>
    <n v="440.8"/>
  </r>
  <r>
    <s v="Vitor Carvalho"/>
    <x v="1"/>
    <n v="38"/>
    <x v="0"/>
    <s v="Volta Redonda"/>
    <n v="5"/>
    <n v="330"/>
    <x v="30"/>
    <s v="Junho"/>
    <x v="4"/>
    <x v="4"/>
    <n v="1650"/>
    <x v="1"/>
    <n v="1254"/>
  </r>
  <r>
    <s v="Lucas Santos"/>
    <x v="0"/>
    <n v="44"/>
    <x v="9"/>
    <s v="Florianópolis"/>
    <n v="2"/>
    <n v="270"/>
    <x v="31"/>
    <s v="Junho"/>
    <x v="0"/>
    <x v="0"/>
    <n v="540"/>
    <x v="1"/>
    <n v="410.4"/>
  </r>
  <r>
    <s v="Bruno Ribeiro"/>
    <x v="0"/>
    <n v="36"/>
    <x v="10"/>
    <s v="Campinas"/>
    <n v="1"/>
    <n v="160"/>
    <x v="32"/>
    <s v="Junho"/>
    <x v="18"/>
    <x v="15"/>
    <n v="160"/>
    <x v="1"/>
    <n v="121.6"/>
  </r>
  <r>
    <s v="Thiago Nascimento"/>
    <x v="0"/>
    <n v="43"/>
    <x v="11"/>
    <s v="Sobral"/>
    <n v="6"/>
    <n v="155"/>
    <x v="33"/>
    <s v="Junho"/>
    <x v="19"/>
    <x v="16"/>
    <n v="930"/>
    <x v="1"/>
    <n v="706.8"/>
  </r>
  <r>
    <s v="Gabriela Fernandes"/>
    <x v="1"/>
    <n v="26"/>
    <x v="3"/>
    <s v="Brasília"/>
    <n v="3"/>
    <n v="305"/>
    <x v="34"/>
    <s v="Junho"/>
    <x v="11"/>
    <x v="10"/>
    <n v="915"/>
    <x v="0"/>
    <n v="695.4"/>
  </r>
  <r>
    <s v="Ana Santos"/>
    <x v="0"/>
    <n v="59"/>
    <x v="9"/>
    <s v="Joinville"/>
    <n v="5"/>
    <n v="300"/>
    <x v="35"/>
    <s v="Junho"/>
    <x v="16"/>
    <x v="10"/>
    <n v="1500"/>
    <x v="4"/>
    <n v="1140"/>
  </r>
  <r>
    <s v="Juliana Costa"/>
    <x v="1"/>
    <n v="52"/>
    <x v="4"/>
    <s v="Recife"/>
    <n v="5"/>
    <n v="275"/>
    <x v="36"/>
    <s v="Junho"/>
    <x v="20"/>
    <x v="3"/>
    <n v="1375"/>
    <x v="3"/>
    <n v="1045"/>
  </r>
  <r>
    <s v="Beatriz Dias"/>
    <x v="0"/>
    <n v="42"/>
    <x v="3"/>
    <s v="Brasília"/>
    <n v="6"/>
    <n v="155"/>
    <x v="37"/>
    <s v="Junho"/>
    <x v="19"/>
    <x v="16"/>
    <n v="930"/>
    <x v="1"/>
    <n v="706.8"/>
  </r>
  <r>
    <s v="Marta Araújo"/>
    <x v="0"/>
    <n v="38"/>
    <x v="1"/>
    <s v="Pelotas"/>
    <n v="2"/>
    <n v="160"/>
    <x v="38"/>
    <s v="Junho"/>
    <x v="18"/>
    <x v="15"/>
    <n v="320"/>
    <x v="1"/>
    <n v="243.2"/>
  </r>
  <r>
    <s v="Mariana Carvalho"/>
    <x v="1"/>
    <n v="49"/>
    <x v="0"/>
    <s v="Rio de Janeiro"/>
    <n v="5"/>
    <n v="190"/>
    <x v="39"/>
    <s v="Junho"/>
    <x v="21"/>
    <x v="17"/>
    <n v="950"/>
    <x v="3"/>
    <n v="722"/>
  </r>
  <r>
    <s v="Lucas Oliveira"/>
    <x v="0"/>
    <n v="28"/>
    <x v="2"/>
    <s v="Curitiba"/>
    <n v="2"/>
    <n v="275"/>
    <x v="40"/>
    <s v="Junho"/>
    <x v="20"/>
    <x v="3"/>
    <n v="550"/>
    <x v="0"/>
    <n v="418"/>
  </r>
  <r>
    <s v="Sabrina Lima"/>
    <x v="1"/>
    <n v="33"/>
    <x v="9"/>
    <s v="Blumenau"/>
    <n v="6"/>
    <n v="195"/>
    <x v="41"/>
    <s v="Junho"/>
    <x v="15"/>
    <x v="14"/>
    <n v="1170"/>
    <x v="0"/>
    <n v="889.2"/>
  </r>
  <r>
    <s v="Marta Silva"/>
    <x v="0"/>
    <n v="16"/>
    <x v="0"/>
    <s v="Niterói"/>
    <n v="1"/>
    <n v="320"/>
    <x v="42"/>
    <s v="Julho"/>
    <x v="14"/>
    <x v="13"/>
    <n v="320"/>
    <x v="2"/>
    <n v="243.2"/>
  </r>
  <r>
    <s v="Lucas Rocha"/>
    <x v="1"/>
    <n v="26"/>
    <x v="5"/>
    <s v="Juazeiro"/>
    <n v="6"/>
    <n v="290"/>
    <x v="43"/>
    <s v="Julho"/>
    <x v="10"/>
    <x v="9"/>
    <n v="1740"/>
    <x v="0"/>
    <n v="1322.4"/>
  </r>
  <r>
    <s v="Renata Rodrigues"/>
    <x v="0"/>
    <n v="41"/>
    <x v="5"/>
    <s v="Salvador"/>
    <n v="6"/>
    <n v="270"/>
    <x v="44"/>
    <s v="Julho"/>
    <x v="0"/>
    <x v="0"/>
    <n v="1620"/>
    <x v="1"/>
    <n v="1231.2"/>
  </r>
  <r>
    <s v="Paula Nascimento"/>
    <x v="1"/>
    <n v="24"/>
    <x v="2"/>
    <s v="Londrina"/>
    <n v="3"/>
    <n v="265"/>
    <x v="45"/>
    <s v="Julho"/>
    <x v="8"/>
    <x v="0"/>
    <n v="795"/>
    <x v="2"/>
    <n v="604.20000000000005"/>
  </r>
  <r>
    <s v="Bruno Carvalho"/>
    <x v="0"/>
    <n v="32"/>
    <x v="0"/>
    <s v="Niterói"/>
    <n v="1"/>
    <n v="185"/>
    <x v="46"/>
    <s v="Agosto"/>
    <x v="5"/>
    <x v="5"/>
    <n v="185"/>
    <x v="0"/>
    <n v="140.6"/>
  </r>
  <r>
    <s v="Sabrina Dias"/>
    <x v="0"/>
    <n v="34"/>
    <x v="4"/>
    <s v="Olinda"/>
    <n v="3"/>
    <n v="300"/>
    <x v="47"/>
    <s v="Agosto"/>
    <x v="16"/>
    <x v="10"/>
    <n v="900"/>
    <x v="0"/>
    <n v="684"/>
  </r>
  <r>
    <s v="Sabrina Santos"/>
    <x v="0"/>
    <n v="35"/>
    <x v="0"/>
    <s v="Petrópolis"/>
    <n v="5"/>
    <n v="340"/>
    <x v="48"/>
    <s v="Agosto"/>
    <x v="17"/>
    <x v="10"/>
    <n v="1700"/>
    <x v="1"/>
    <n v="1292"/>
  </r>
  <r>
    <s v="Leonardo Moreira"/>
    <x v="0"/>
    <n v="41"/>
    <x v="1"/>
    <s v="Caxias do Sul"/>
    <n v="2"/>
    <n v="330"/>
    <x v="49"/>
    <s v="Agosto"/>
    <x v="4"/>
    <x v="4"/>
    <n v="660"/>
    <x v="1"/>
    <n v="501.6"/>
  </r>
  <r>
    <s v="Leonardo Silva"/>
    <x v="1"/>
    <n v="49"/>
    <x v="4"/>
    <s v="Olinda"/>
    <n v="2"/>
    <n v="320"/>
    <x v="50"/>
    <s v="Setembro"/>
    <x v="14"/>
    <x v="13"/>
    <n v="640"/>
    <x v="3"/>
    <n v="486.4"/>
  </r>
  <r>
    <s v="Lucas Barbosa"/>
    <x v="0"/>
    <n v="26"/>
    <x v="11"/>
    <s v="Juazeiro do Norte"/>
    <n v="4"/>
    <n v="290"/>
    <x v="51"/>
    <s v="Setembro"/>
    <x v="10"/>
    <x v="9"/>
    <n v="1160"/>
    <x v="0"/>
    <n v="881.6"/>
  </r>
  <r>
    <s v="Eduardo Lima"/>
    <x v="0"/>
    <n v="38"/>
    <x v="6"/>
    <s v="Belém"/>
    <n v="3"/>
    <n v="160"/>
    <x v="52"/>
    <s v="Setembro"/>
    <x v="18"/>
    <x v="15"/>
    <n v="480"/>
    <x v="1"/>
    <n v="364.8"/>
  </r>
  <r>
    <s v="Larissa Oliveira"/>
    <x v="0"/>
    <n v="28"/>
    <x v="5"/>
    <s v="Ilhéus"/>
    <n v="5"/>
    <n v="265"/>
    <x v="53"/>
    <s v="Setembro"/>
    <x v="8"/>
    <x v="0"/>
    <n v="1325"/>
    <x v="0"/>
    <n v="1007"/>
  </r>
  <r>
    <s v="Vanessa Rocha"/>
    <x v="1"/>
    <n v="54"/>
    <x v="5"/>
    <s v="Feira de Santana"/>
    <n v="3"/>
    <n v="200"/>
    <x v="54"/>
    <s v="Setembro"/>
    <x v="2"/>
    <x v="2"/>
    <n v="600"/>
    <x v="3"/>
    <n v="456"/>
  </r>
  <r>
    <s v="Carlos Souza"/>
    <x v="0"/>
    <n v="37"/>
    <x v="2"/>
    <s v="Maringá"/>
    <n v="5"/>
    <n v="155"/>
    <x v="55"/>
    <s v="Setembro"/>
    <x v="19"/>
    <x v="16"/>
    <n v="775"/>
    <x v="1"/>
    <n v="589"/>
  </r>
  <r>
    <s v="Igor Souza"/>
    <x v="1"/>
    <n v="27"/>
    <x v="8"/>
    <s v="Anápolis"/>
    <n v="5"/>
    <n v="250"/>
    <x v="56"/>
    <s v="Setembro"/>
    <x v="22"/>
    <x v="8"/>
    <n v="1250"/>
    <x v="0"/>
    <n v="950"/>
  </r>
  <r>
    <s v="Vitor Rodrigues"/>
    <x v="1"/>
    <n v="30"/>
    <x v="0"/>
    <s v="Petrópolis"/>
    <n v="3"/>
    <n v="195"/>
    <x v="57"/>
    <s v="Janeiro"/>
    <x v="15"/>
    <x v="14"/>
    <n v="585"/>
    <x v="0"/>
    <n v="444.6"/>
  </r>
  <r>
    <s v="Fernanda Lima"/>
    <x v="0"/>
    <n v="29"/>
    <x v="8"/>
    <s v="Anápolis"/>
    <n v="2"/>
    <n v="185"/>
    <x v="1"/>
    <s v="Janeiro"/>
    <x v="5"/>
    <x v="5"/>
    <n v="370"/>
    <x v="0"/>
    <n v="281.2"/>
  </r>
  <r>
    <s v="Gustavo Ribeiro"/>
    <x v="0"/>
    <n v="26"/>
    <x v="4"/>
    <s v="Olinda"/>
    <n v="5"/>
    <n v="195"/>
    <x v="2"/>
    <s v="Janeiro"/>
    <x v="15"/>
    <x v="14"/>
    <n v="975"/>
    <x v="0"/>
    <n v="741"/>
  </r>
  <r>
    <s v="Mariana Barbosa"/>
    <x v="0"/>
    <n v="42"/>
    <x v="4"/>
    <s v="Caruaru"/>
    <n v="4"/>
    <n v="190"/>
    <x v="58"/>
    <s v="Janeiro"/>
    <x v="21"/>
    <x v="17"/>
    <n v="760"/>
    <x v="1"/>
    <n v="577.6"/>
  </r>
  <r>
    <s v="Rodrigo Rodrigues"/>
    <x v="0"/>
    <n v="34"/>
    <x v="8"/>
    <s v="Goiânia"/>
    <n v="1"/>
    <n v="260"/>
    <x v="59"/>
    <s v="Janeiro"/>
    <x v="23"/>
    <x v="0"/>
    <n v="260"/>
    <x v="0"/>
    <n v="197.6"/>
  </r>
  <r>
    <s v="André Martins"/>
    <x v="0"/>
    <n v="30"/>
    <x v="1"/>
    <s v="Pelotas"/>
    <n v="2"/>
    <n v="275"/>
    <x v="60"/>
    <s v="Janeiro"/>
    <x v="24"/>
    <x v="18"/>
    <n v="550"/>
    <x v="0"/>
    <n v="418"/>
  </r>
  <r>
    <s v="Camila Silva"/>
    <x v="1"/>
    <n v="30"/>
    <x v="11"/>
    <s v="Fortaleza"/>
    <n v="4"/>
    <n v="190"/>
    <x v="61"/>
    <s v="Janeiro"/>
    <x v="21"/>
    <x v="17"/>
    <n v="760"/>
    <x v="0"/>
    <n v="577.6"/>
  </r>
  <r>
    <s v="Gustavo Barbosa"/>
    <x v="0"/>
    <n v="34"/>
    <x v="10"/>
    <s v="São Paulo"/>
    <n v="4"/>
    <n v="340"/>
    <x v="62"/>
    <s v="Janeiro"/>
    <x v="17"/>
    <x v="10"/>
    <n v="1360"/>
    <x v="0"/>
    <n v="1033.5999999999999"/>
  </r>
  <r>
    <s v="Ricardo Costa"/>
    <x v="0"/>
    <n v="48"/>
    <x v="8"/>
    <s v="Catalão"/>
    <n v="1"/>
    <n v="190"/>
    <x v="63"/>
    <s v="Janeiro"/>
    <x v="21"/>
    <x v="17"/>
    <n v="190"/>
    <x v="3"/>
    <n v="144.4"/>
  </r>
  <r>
    <s v="Gabriela Almeida"/>
    <x v="0"/>
    <n v="37"/>
    <x v="11"/>
    <s v="Sobral"/>
    <n v="4"/>
    <n v="340"/>
    <x v="64"/>
    <s v="Janeiro"/>
    <x v="17"/>
    <x v="10"/>
    <n v="1360"/>
    <x v="1"/>
    <n v="1033.5999999999999"/>
  </r>
  <r>
    <s v="Igor Ribeiro"/>
    <x v="0"/>
    <n v="37"/>
    <x v="9"/>
    <s v="Chapecó"/>
    <n v="2"/>
    <n v="275"/>
    <x v="65"/>
    <s v="Janeiro"/>
    <x v="20"/>
    <x v="3"/>
    <n v="550"/>
    <x v="1"/>
    <n v="418"/>
  </r>
  <r>
    <s v="Marcos Carvalho"/>
    <x v="1"/>
    <n v="34"/>
    <x v="9"/>
    <s v="Chapecó"/>
    <n v="2"/>
    <n v="265"/>
    <x v="66"/>
    <s v="Janeiro"/>
    <x v="8"/>
    <x v="0"/>
    <n v="530"/>
    <x v="0"/>
    <n v="402.8"/>
  </r>
  <r>
    <s v="Larissa Carvalho"/>
    <x v="1"/>
    <n v="48"/>
    <x v="5"/>
    <s v="Feira de Santana"/>
    <n v="3"/>
    <n v="320"/>
    <x v="67"/>
    <s v="Janeiro"/>
    <x v="14"/>
    <x v="13"/>
    <n v="960"/>
    <x v="3"/>
    <n v="729.6"/>
  </r>
  <r>
    <s v="Felipe Rocha"/>
    <x v="1"/>
    <n v="39"/>
    <x v="7"/>
    <s v="Uberlândia"/>
    <n v="4"/>
    <n v="270"/>
    <x v="68"/>
    <s v="Outubro"/>
    <x v="0"/>
    <x v="0"/>
    <n v="1080"/>
    <x v="1"/>
    <n v="820.8"/>
  </r>
  <r>
    <s v="Leonardo Araújo"/>
    <x v="0"/>
    <n v="41"/>
    <x v="4"/>
    <s v="Recife"/>
    <n v="4"/>
    <n v="290"/>
    <x v="69"/>
    <s v="Outubro"/>
    <x v="10"/>
    <x v="9"/>
    <n v="1160"/>
    <x v="1"/>
    <n v="881.6"/>
  </r>
  <r>
    <s v="Thiago Dias"/>
    <x v="0"/>
    <n v="54"/>
    <x v="3"/>
    <s v="Brasília"/>
    <n v="1"/>
    <n v="175"/>
    <x v="70"/>
    <s v="Outubro"/>
    <x v="25"/>
    <x v="19"/>
    <n v="175"/>
    <x v="3"/>
    <n v="133"/>
  </r>
  <r>
    <s v="Eduardo Lima"/>
    <x v="0"/>
    <n v="36"/>
    <x v="4"/>
    <s v="Olinda"/>
    <n v="2"/>
    <n v="175"/>
    <x v="55"/>
    <s v="Outubro"/>
    <x v="25"/>
    <x v="19"/>
    <n v="350"/>
    <x v="1"/>
    <n v="266"/>
  </r>
  <r>
    <s v="Larissa Ribeiro"/>
    <x v="0"/>
    <n v="22"/>
    <x v="4"/>
    <s v="Olinda"/>
    <n v="4"/>
    <n v="240"/>
    <x v="71"/>
    <s v="Outubro"/>
    <x v="26"/>
    <x v="6"/>
    <n v="960"/>
    <x v="2"/>
    <n v="729.6"/>
  </r>
  <r>
    <s v="Rafael Moreira"/>
    <x v="0"/>
    <n v="43"/>
    <x v="4"/>
    <s v="Recife"/>
    <n v="6"/>
    <n v="270"/>
    <x v="72"/>
    <s v="Outubro"/>
    <x v="0"/>
    <x v="0"/>
    <n v="1620"/>
    <x v="1"/>
    <n v="1231.2"/>
  </r>
  <r>
    <s v="Paula Pereira"/>
    <x v="0"/>
    <n v="37"/>
    <x v="2"/>
    <s v="Londrina"/>
    <n v="3"/>
    <n v="190"/>
    <x v="73"/>
    <s v="Outubro"/>
    <x v="21"/>
    <x v="17"/>
    <n v="570"/>
    <x v="1"/>
    <n v="433.20000000000005"/>
  </r>
  <r>
    <s v="Renata Barbosa"/>
    <x v="1"/>
    <n v="41"/>
    <x v="4"/>
    <s v="Caruaru"/>
    <n v="1"/>
    <n v="240"/>
    <x v="74"/>
    <s v="Fevereiro"/>
    <x v="26"/>
    <x v="6"/>
    <n v="240"/>
    <x v="1"/>
    <n v="182.4"/>
  </r>
  <r>
    <s v="Marcos Silva"/>
    <x v="0"/>
    <n v="57"/>
    <x v="1"/>
    <s v="Porto Alegre"/>
    <n v="6"/>
    <n v="340"/>
    <x v="75"/>
    <s v="Fevereiro"/>
    <x v="17"/>
    <x v="10"/>
    <n v="2040"/>
    <x v="4"/>
    <n v="1550.4"/>
  </r>
  <r>
    <s v="Carlos Silva"/>
    <x v="0"/>
    <n v="41"/>
    <x v="1"/>
    <s v="Porto Alegre"/>
    <n v="2"/>
    <n v="195"/>
    <x v="76"/>
    <s v="Fevereiro"/>
    <x v="15"/>
    <x v="14"/>
    <n v="390"/>
    <x v="1"/>
    <n v="296.39999999999998"/>
  </r>
  <r>
    <s v="Beatriz Pereira"/>
    <x v="1"/>
    <n v="52"/>
    <x v="11"/>
    <s v="Sobral"/>
    <n v="3"/>
    <n v="340"/>
    <x v="77"/>
    <s v="Fevereiro"/>
    <x v="17"/>
    <x v="10"/>
    <n v="1020"/>
    <x v="3"/>
    <n v="775.2"/>
  </r>
  <r>
    <s v="Bruno Moreira"/>
    <x v="0"/>
    <n v="49"/>
    <x v="8"/>
    <s v="Catalão"/>
    <n v="2"/>
    <n v="260"/>
    <x v="3"/>
    <s v="Fevereiro"/>
    <x v="13"/>
    <x v="12"/>
    <n v="520"/>
    <x v="3"/>
    <n v="395.2"/>
  </r>
  <r>
    <s v="Mariana Souza"/>
    <x v="0"/>
    <n v="45"/>
    <x v="4"/>
    <s v="Petrolina"/>
    <n v="2"/>
    <n v="300"/>
    <x v="4"/>
    <s v="Fevereiro"/>
    <x v="27"/>
    <x v="0"/>
    <n v="600"/>
    <x v="3"/>
    <n v="456"/>
  </r>
  <r>
    <s v="Pedro Dias"/>
    <x v="0"/>
    <n v="28"/>
    <x v="6"/>
    <s v="Belém"/>
    <n v="6"/>
    <n v="260"/>
    <x v="5"/>
    <s v="Fevereiro"/>
    <x v="13"/>
    <x v="12"/>
    <n v="1560"/>
    <x v="0"/>
    <n v="1185.5999999999999"/>
  </r>
  <r>
    <s v="Mariana Moreira"/>
    <x v="0"/>
    <n v="37"/>
    <x v="10"/>
    <s v="Santos"/>
    <n v="4"/>
    <n v="185"/>
    <x v="78"/>
    <s v="Fevereiro"/>
    <x v="5"/>
    <x v="5"/>
    <n v="740"/>
    <x v="1"/>
    <n v="562.4"/>
  </r>
  <r>
    <s v="Sabrina Oliveira"/>
    <x v="0"/>
    <n v="21"/>
    <x v="2"/>
    <s v="Curitiba"/>
    <n v="4"/>
    <n v="260"/>
    <x v="79"/>
    <s v="Fevereiro"/>
    <x v="6"/>
    <x v="6"/>
    <n v="1040"/>
    <x v="2"/>
    <n v="790.4"/>
  </r>
  <r>
    <s v="Ariadne Souza"/>
    <x v="1"/>
    <n v="20"/>
    <x v="11"/>
    <s v="Juazeiro do Norte"/>
    <n v="2"/>
    <n v="155"/>
    <x v="80"/>
    <s v="Fevereiro"/>
    <x v="19"/>
    <x v="16"/>
    <n v="310"/>
    <x v="2"/>
    <n v="235.60000000000002"/>
  </r>
  <r>
    <s v="Marta Nascimento"/>
    <x v="0"/>
    <n v="50"/>
    <x v="9"/>
    <s v="Chapecó"/>
    <n v="4"/>
    <n v="190"/>
    <x v="81"/>
    <s v="Fevereiro"/>
    <x v="21"/>
    <x v="17"/>
    <n v="760"/>
    <x v="3"/>
    <n v="577.6"/>
  </r>
  <r>
    <s v="Larissa Araújo"/>
    <x v="0"/>
    <n v="36"/>
    <x v="11"/>
    <s v="Juazeiro do Norte"/>
    <n v="4"/>
    <n v="340"/>
    <x v="82"/>
    <s v="Fevereiro"/>
    <x v="17"/>
    <x v="10"/>
    <n v="1360"/>
    <x v="1"/>
    <n v="1033.5999999999999"/>
  </r>
  <r>
    <s v="Thiago Araújo"/>
    <x v="1"/>
    <n v="30"/>
    <x v="2"/>
    <s v="Londrina"/>
    <n v="2"/>
    <n v="175"/>
    <x v="83"/>
    <s v="Fevereiro"/>
    <x v="25"/>
    <x v="19"/>
    <n v="350"/>
    <x v="0"/>
    <n v="266"/>
  </r>
  <r>
    <s v="Eduardo Nascimento"/>
    <x v="1"/>
    <n v="45"/>
    <x v="5"/>
    <s v="Juazeiro"/>
    <n v="5"/>
    <n v="250"/>
    <x v="84"/>
    <s v="Fevereiro"/>
    <x v="22"/>
    <x v="8"/>
    <n v="1250"/>
    <x v="3"/>
    <n v="950"/>
  </r>
  <r>
    <s v="Gustavo Oliveira"/>
    <x v="1"/>
    <n v="23"/>
    <x v="4"/>
    <s v="Petrolina"/>
    <n v="2"/>
    <n v="185"/>
    <x v="7"/>
    <s v="Março"/>
    <x v="5"/>
    <x v="5"/>
    <n v="370"/>
    <x v="2"/>
    <n v="281.2"/>
  </r>
  <r>
    <s v="Marcos Fernandes"/>
    <x v="1"/>
    <n v="42"/>
    <x v="4"/>
    <s v="Olinda"/>
    <n v="6"/>
    <n v="265"/>
    <x v="8"/>
    <s v="Março"/>
    <x v="28"/>
    <x v="20"/>
    <n v="1590"/>
    <x v="1"/>
    <n v="1208.4000000000001"/>
  </r>
  <r>
    <s v="Sabrina Fernandes"/>
    <x v="0"/>
    <n v="34"/>
    <x v="2"/>
    <s v="Cascavel"/>
    <n v="5"/>
    <n v="305"/>
    <x v="9"/>
    <s v="Março"/>
    <x v="11"/>
    <x v="10"/>
    <n v="1525"/>
    <x v="0"/>
    <n v="1159"/>
  </r>
  <r>
    <s v="Renata Gomes"/>
    <x v="0"/>
    <n v="33"/>
    <x v="0"/>
    <s v="Niterói"/>
    <n v="1"/>
    <n v="180"/>
    <x v="85"/>
    <s v="Março"/>
    <x v="29"/>
    <x v="21"/>
    <n v="180"/>
    <x v="0"/>
    <n v="136.80000000000001"/>
  </r>
  <r>
    <s v="Vitor Costa"/>
    <x v="1"/>
    <n v="41"/>
    <x v="8"/>
    <s v="Anápolis"/>
    <n v="6"/>
    <n v="320"/>
    <x v="86"/>
    <s v="Março"/>
    <x v="14"/>
    <x v="13"/>
    <n v="1920"/>
    <x v="1"/>
    <n v="1459.2"/>
  </r>
  <r>
    <s v="Marta Moreira"/>
    <x v="1"/>
    <n v="39"/>
    <x v="1"/>
    <s v="Pelotas"/>
    <n v="3"/>
    <n v="310"/>
    <x v="87"/>
    <s v="Março"/>
    <x v="7"/>
    <x v="7"/>
    <n v="930"/>
    <x v="1"/>
    <n v="706.8"/>
  </r>
  <r>
    <s v="João Rocha"/>
    <x v="1"/>
    <n v="37"/>
    <x v="10"/>
    <s v="São Paulo"/>
    <n v="3"/>
    <n v="185"/>
    <x v="88"/>
    <s v="Março"/>
    <x v="5"/>
    <x v="5"/>
    <n v="555"/>
    <x v="1"/>
    <n v="421.8"/>
  </r>
  <r>
    <s v="Rafael Fernandes"/>
    <x v="1"/>
    <n v="42"/>
    <x v="11"/>
    <s v="Crato"/>
    <n v="2"/>
    <n v="180"/>
    <x v="89"/>
    <s v="Março"/>
    <x v="29"/>
    <x v="21"/>
    <n v="360"/>
    <x v="1"/>
    <n v="273.60000000000002"/>
  </r>
  <r>
    <s v="Ana Nascimento"/>
    <x v="0"/>
    <n v="34"/>
    <x v="11"/>
    <s v="Fortaleza"/>
    <n v="1"/>
    <n v="240"/>
    <x v="90"/>
    <s v="Março"/>
    <x v="26"/>
    <x v="6"/>
    <n v="240"/>
    <x v="0"/>
    <n v="182.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5114A5-AEBA-448B-B1BC-C6F41BD9402C}" name="receitaliq_por_artista" cacheId="7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06">
  <location ref="Z3:AA9" firstHeaderRow="1" firstDataRow="1" firstDataCol="1"/>
  <pivotFields count="16">
    <pivotField showAll="0"/>
    <pivotField showAll="0"/>
    <pivotField showAll="0"/>
    <pivotField showAll="0"/>
    <pivotField showAll="0"/>
    <pivotField showAll="0"/>
    <pivotField numFmtId="164" showAll="0"/>
    <pivotField showAll="0">
      <items count="92">
        <item x="0"/>
        <item x="1"/>
        <item x="2"/>
        <item x="58"/>
        <item x="59"/>
        <item x="60"/>
        <item x="61"/>
        <item x="62"/>
        <item x="63"/>
        <item x="64"/>
        <item x="65"/>
        <item x="66"/>
        <item x="67"/>
        <item x="57"/>
        <item x="74"/>
        <item x="75"/>
        <item x="76"/>
        <item x="77"/>
        <item x="3"/>
        <item x="4"/>
        <item x="5"/>
        <item x="78"/>
        <item x="79"/>
        <item x="80"/>
        <item x="81"/>
        <item x="82"/>
        <item x="83"/>
        <item x="84"/>
        <item x="6"/>
        <item x="7"/>
        <item x="8"/>
        <item x="9"/>
        <item x="85"/>
        <item x="86"/>
        <item x="87"/>
        <item x="88"/>
        <item x="89"/>
        <item x="90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68"/>
        <item x="69"/>
        <item x="70"/>
        <item x="55"/>
        <item x="71"/>
        <item x="72"/>
        <item x="73"/>
        <item x="56"/>
        <item t="default"/>
      </items>
    </pivotField>
    <pivotField showAll="0"/>
    <pivotField showAll="0"/>
    <pivotField axis="axisRow" showAll="0" measureFilter="1" sortType="ascending">
      <items count="23">
        <item x="18"/>
        <item x="19"/>
        <item x="5"/>
        <item x="16"/>
        <item x="7"/>
        <item x="0"/>
        <item x="21"/>
        <item x="6"/>
        <item x="13"/>
        <item x="9"/>
        <item x="14"/>
        <item x="15"/>
        <item x="20"/>
        <item x="10"/>
        <item x="12"/>
        <item x="4"/>
        <item x="2"/>
        <item x="17"/>
        <item x="1"/>
        <item x="8"/>
        <item x="3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10"/>
  </rowFields>
  <rowItems count="6">
    <i>
      <x v="8"/>
    </i>
    <i>
      <x v="15"/>
    </i>
    <i>
      <x v="9"/>
    </i>
    <i>
      <x v="5"/>
    </i>
    <i>
      <x v="13"/>
    </i>
    <i t="grand">
      <x/>
    </i>
  </rowItems>
  <colItems count="1">
    <i/>
  </colItems>
  <dataFields count="1">
    <dataField name="Soma de Receita Líquida" fld="13" baseField="15" baseItem="5" numFmtId="173"/>
  </dataFields>
  <chartFormats count="6">
    <chartFormat chart="10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1" format="3">
      <pivotArea type="data" outline="0" fieldPosition="0">
        <references count="2">
          <reference field="4294967294" count="1" selected="0">
            <x v="0"/>
          </reference>
          <reference field="10" count="1" selected="0">
            <x v="5"/>
          </reference>
        </references>
      </pivotArea>
    </chartFormat>
    <chartFormat chart="101" format="3">
      <pivotArea type="data" outline="0" fieldPosition="0">
        <references count="2">
          <reference field="4294967294" count="1" selected="0">
            <x v="0"/>
          </reference>
          <reference field="10" count="1" selected="0">
            <x v="13"/>
          </reference>
        </references>
      </pivotArea>
    </chartFormat>
    <chartFormat chart="101" format="4">
      <pivotArea type="data" outline="0" fieldPosition="0">
        <references count="2">
          <reference field="4294967294" count="1" selected="0">
            <x v="0"/>
          </reference>
          <reference field="10" count="1" selected="0">
            <x v="9"/>
          </reference>
        </references>
      </pivotArea>
    </chartFormat>
    <chartFormat chart="101" format="5">
      <pivotArea type="data" outline="0" fieldPosition="0">
        <references count="2">
          <reference field="4294967294" count="1" selected="0">
            <x v="0"/>
          </reference>
          <reference field="10" count="1" selected="0">
            <x v="15"/>
          </reference>
        </references>
      </pivotArea>
    </chartFormat>
    <chartFormat chart="101" format="6">
      <pivotArea type="data" outline="0" fieldPosition="0">
        <references count="2">
          <reference field="4294967294" count="1" selected="0">
            <x v="0"/>
          </reference>
          <reference field="10" count="1" selected="0">
            <x v="8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0" type="count" evalOrder="-1" id="7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BB08C5-DE51-4B88-B3EE-69CC21C4E110}" name="receita_liq" cacheId="7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94">
  <location ref="W3:X14" firstHeaderRow="1" firstDataRow="1" firstDataCol="1"/>
  <pivotFields count="16">
    <pivotField showAll="0"/>
    <pivotField showAll="0"/>
    <pivotField showAll="0"/>
    <pivotField showAll="0"/>
    <pivotField showAll="0"/>
    <pivotField showAll="0"/>
    <pivotField numFmtId="164" showAll="0"/>
    <pivotField showAll="0">
      <items count="92">
        <item x="0"/>
        <item x="1"/>
        <item x="2"/>
        <item x="58"/>
        <item x="59"/>
        <item x="60"/>
        <item x="61"/>
        <item x="62"/>
        <item x="63"/>
        <item x="64"/>
        <item x="65"/>
        <item x="66"/>
        <item x="67"/>
        <item x="57"/>
        <item x="74"/>
        <item x="75"/>
        <item x="76"/>
        <item x="77"/>
        <item x="3"/>
        <item x="4"/>
        <item x="5"/>
        <item x="78"/>
        <item x="79"/>
        <item x="80"/>
        <item x="81"/>
        <item x="82"/>
        <item x="83"/>
        <item x="84"/>
        <item x="6"/>
        <item x="7"/>
        <item x="8"/>
        <item x="9"/>
        <item x="85"/>
        <item x="86"/>
        <item x="87"/>
        <item x="88"/>
        <item x="89"/>
        <item x="90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68"/>
        <item x="69"/>
        <item x="70"/>
        <item x="55"/>
        <item x="71"/>
        <item x="72"/>
        <item x="73"/>
        <item x="56"/>
        <item t="default"/>
      </items>
    </pivotField>
    <pivotField showAll="0"/>
    <pivotField showAll="0"/>
    <pivotField axis="axisRow" showAll="0">
      <items count="23">
        <item x="18"/>
        <item x="19"/>
        <item x="5"/>
        <item x="16"/>
        <item x="7"/>
        <item x="0"/>
        <item x="21"/>
        <item x="6"/>
        <item x="13"/>
        <item x="9"/>
        <item x="14"/>
        <item x="15"/>
        <item x="20"/>
        <item x="10"/>
        <item x="12"/>
        <item x="4"/>
        <item x="2"/>
        <item x="17"/>
        <item x="1"/>
        <item x="8"/>
        <item x="3"/>
        <item x="11"/>
        <item t="default"/>
      </items>
    </pivotField>
    <pivotField showAll="0"/>
    <pivotField showAll="0"/>
    <pivotField dataField="1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2">
    <field x="15"/>
    <field x="10"/>
  </rowFields>
  <rowItems count="11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Soma de Receita Líquida" fld="13" baseField="15" baseItem="5" numFmtId="17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60D395-4668-4936-84A7-020572E3FBFD}" name="mes_venda" cacheId="7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97">
  <location ref="S3:U14" firstHeaderRow="0" firstDataRow="1" firstDataCol="1"/>
  <pivotFields count="16">
    <pivotField showAll="0"/>
    <pivotField showAll="0"/>
    <pivotField showAll="0"/>
    <pivotField showAll="0"/>
    <pivotField showAll="0"/>
    <pivotField dataField="1" showAll="0"/>
    <pivotField numFmtId="164" showAll="0"/>
    <pivotField showAll="0">
      <items count="92">
        <item x="0"/>
        <item x="1"/>
        <item x="2"/>
        <item x="58"/>
        <item x="59"/>
        <item x="60"/>
        <item x="61"/>
        <item x="62"/>
        <item x="63"/>
        <item x="64"/>
        <item x="65"/>
        <item x="66"/>
        <item x="67"/>
        <item x="57"/>
        <item x="74"/>
        <item x="75"/>
        <item x="76"/>
        <item x="77"/>
        <item x="3"/>
        <item x="4"/>
        <item x="5"/>
        <item x="78"/>
        <item x="79"/>
        <item x="80"/>
        <item x="81"/>
        <item x="82"/>
        <item x="83"/>
        <item x="84"/>
        <item x="6"/>
        <item x="7"/>
        <item x="8"/>
        <item x="9"/>
        <item x="85"/>
        <item x="86"/>
        <item x="87"/>
        <item x="88"/>
        <item x="89"/>
        <item x="90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68"/>
        <item x="69"/>
        <item x="70"/>
        <item x="55"/>
        <item x="71"/>
        <item x="72"/>
        <item x="73"/>
        <item x="56"/>
        <item t="default"/>
      </items>
    </pivotField>
    <pivotField showAll="0"/>
    <pivotField showAll="0"/>
    <pivotField axis="axisRow" showAll="0">
      <items count="23">
        <item x="18"/>
        <item x="19"/>
        <item x="5"/>
        <item x="16"/>
        <item x="7"/>
        <item x="0"/>
        <item x="21"/>
        <item x="6"/>
        <item x="13"/>
        <item x="9"/>
        <item x="14"/>
        <item x="15"/>
        <item x="20"/>
        <item x="10"/>
        <item x="12"/>
        <item x="4"/>
        <item x="2"/>
        <item x="17"/>
        <item x="1"/>
        <item x="8"/>
        <item x="3"/>
        <item x="11"/>
        <item t="default"/>
      </items>
    </pivotField>
    <pivotField dataField="1" showAll="0"/>
    <pivotField showAll="0"/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2">
    <field x="15"/>
    <field x="10"/>
  </rowFields>
  <rowItems count="11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Receita (R$)" fld="11" baseField="0" baseItem="0"/>
    <dataField name="Soma de Quantidade Vendida" fld="5" baseField="0" baseItem="0"/>
  </dataFields>
  <chartFormats count="3">
    <chartFormat chart="7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DB4469-9743-4E10-9C0D-70DB1F6994EC}" name="receita_por_estado" cacheId="7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84">
  <location ref="P3:Q16" firstHeaderRow="1" firstDataRow="1" firstDataCol="1"/>
  <pivotFields count="16">
    <pivotField showAll="0"/>
    <pivotField showAll="0"/>
    <pivotField showAll="0"/>
    <pivotField axis="axisRow" showAll="0">
      <items count="13">
        <item x="5"/>
        <item x="11"/>
        <item x="3"/>
        <item x="8"/>
        <item x="7"/>
        <item x="6"/>
        <item x="4"/>
        <item x="2"/>
        <item x="0"/>
        <item x="1"/>
        <item x="9"/>
        <item x="10"/>
        <item t="default"/>
      </items>
    </pivotField>
    <pivotField showAll="0"/>
    <pivotField showAll="0"/>
    <pivotField numFmtId="164" showAll="0"/>
    <pivotField showAll="0">
      <items count="92">
        <item x="0"/>
        <item x="1"/>
        <item x="2"/>
        <item x="58"/>
        <item x="59"/>
        <item x="60"/>
        <item x="61"/>
        <item x="62"/>
        <item x="63"/>
        <item x="64"/>
        <item x="65"/>
        <item x="66"/>
        <item x="67"/>
        <item x="57"/>
        <item x="74"/>
        <item x="75"/>
        <item x="76"/>
        <item x="77"/>
        <item x="3"/>
        <item x="4"/>
        <item x="5"/>
        <item x="78"/>
        <item x="79"/>
        <item x="80"/>
        <item x="81"/>
        <item x="82"/>
        <item x="83"/>
        <item x="84"/>
        <item x="6"/>
        <item x="7"/>
        <item x="8"/>
        <item x="9"/>
        <item x="85"/>
        <item x="86"/>
        <item x="87"/>
        <item x="88"/>
        <item x="89"/>
        <item x="90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68"/>
        <item x="69"/>
        <item x="70"/>
        <item x="55"/>
        <item x="71"/>
        <item x="72"/>
        <item x="73"/>
        <item x="56"/>
        <item t="default"/>
      </items>
    </pivotField>
    <pivotField showAll="0"/>
    <pivotField showAll="0"/>
    <pivotField showAll="0">
      <items count="23">
        <item x="18"/>
        <item x="19"/>
        <item x="5"/>
        <item x="16"/>
        <item x="7"/>
        <item x="0"/>
        <item x="21"/>
        <item x="6"/>
        <item x="13"/>
        <item x="9"/>
        <item x="14"/>
        <item x="15"/>
        <item x="20"/>
        <item x="10"/>
        <item x="12"/>
        <item x="4"/>
        <item x="2"/>
        <item x="17"/>
        <item x="1"/>
        <item x="8"/>
        <item x="3"/>
        <item x="11"/>
        <item t="default"/>
      </items>
    </pivotField>
    <pivotField dataField="1"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oma de Receita (R$)" fld="11" baseField="0" baseItem="0"/>
  </dataFields>
  <chartFormats count="1">
    <chartFormat chart="7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92C148-7D1E-4817-8B57-B9EDFA265B4A}" name="qtd_vendida" cacheId="7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6">
  <location ref="M3:N34" firstHeaderRow="1" firstDataRow="1" firstDataCol="1"/>
  <pivotFields count="16">
    <pivotField showAll="0"/>
    <pivotField showAll="0"/>
    <pivotField showAll="0"/>
    <pivotField showAll="0"/>
    <pivotField showAll="0"/>
    <pivotField dataField="1" showAll="0"/>
    <pivotField numFmtId="164" showAll="0"/>
    <pivotField showAll="0">
      <items count="92">
        <item x="0"/>
        <item x="1"/>
        <item x="2"/>
        <item x="58"/>
        <item x="59"/>
        <item x="60"/>
        <item x="61"/>
        <item x="62"/>
        <item x="63"/>
        <item x="64"/>
        <item x="65"/>
        <item x="66"/>
        <item x="67"/>
        <item x="57"/>
        <item x="74"/>
        <item x="75"/>
        <item x="76"/>
        <item x="77"/>
        <item x="3"/>
        <item x="4"/>
        <item x="5"/>
        <item x="78"/>
        <item x="79"/>
        <item x="80"/>
        <item x="81"/>
        <item x="82"/>
        <item x="83"/>
        <item x="84"/>
        <item x="6"/>
        <item x="7"/>
        <item x="8"/>
        <item x="9"/>
        <item x="85"/>
        <item x="86"/>
        <item x="87"/>
        <item x="88"/>
        <item x="89"/>
        <item x="90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68"/>
        <item x="69"/>
        <item x="70"/>
        <item x="55"/>
        <item x="71"/>
        <item x="72"/>
        <item x="73"/>
        <item x="56"/>
        <item t="default"/>
      </items>
    </pivotField>
    <pivotField showAll="0"/>
    <pivotField axis="axisRow" showAll="0">
      <items count="31">
        <item x="15"/>
        <item x="13"/>
        <item x="22"/>
        <item x="7"/>
        <item x="24"/>
        <item x="12"/>
        <item x="29"/>
        <item x="21"/>
        <item x="2"/>
        <item x="8"/>
        <item x="26"/>
        <item x="6"/>
        <item x="5"/>
        <item x="23"/>
        <item x="0"/>
        <item x="3"/>
        <item x="25"/>
        <item x="14"/>
        <item x="10"/>
        <item x="19"/>
        <item x="4"/>
        <item x="27"/>
        <item x="1"/>
        <item x="9"/>
        <item x="18"/>
        <item x="20"/>
        <item x="28"/>
        <item x="16"/>
        <item x="17"/>
        <item x="11"/>
        <item t="default"/>
      </items>
    </pivotField>
    <pivotField showAll="0">
      <items count="23">
        <item x="18"/>
        <item x="19"/>
        <item x="5"/>
        <item x="16"/>
        <item x="7"/>
        <item x="0"/>
        <item x="21"/>
        <item x="6"/>
        <item x="13"/>
        <item x="9"/>
        <item x="14"/>
        <item x="15"/>
        <item x="20"/>
        <item x="10"/>
        <item x="12"/>
        <item x="4"/>
        <item x="2"/>
        <item x="17"/>
        <item x="1"/>
        <item x="8"/>
        <item x="3"/>
        <item x="11"/>
        <item t="default"/>
      </items>
    </pivotField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9"/>
  </rowFields>
  <rowItems count="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rowItems>
  <colItems count="1">
    <i/>
  </colItems>
  <dataFields count="1">
    <dataField name="Soma de Quantidade Vendida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2B5BC1-3A0F-4A7D-B801-CA75BFD39A25}" name="receita_total" cacheId="7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6">
  <location ref="J3:K6" firstHeaderRow="1" firstDataRow="1" firstDataCol="1"/>
  <pivotFields count="16">
    <pivotField showAll="0"/>
    <pivotField axis="axisRow" showAll="0">
      <items count="3">
        <item x="0"/>
        <item x="1"/>
        <item t="default"/>
      </items>
    </pivotField>
    <pivotField showAll="0" sortType="a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numFmtId="164" showAll="0"/>
    <pivotField showAll="0">
      <items count="92">
        <item x="0"/>
        <item x="1"/>
        <item x="2"/>
        <item x="58"/>
        <item x="59"/>
        <item x="60"/>
        <item x="61"/>
        <item x="62"/>
        <item x="63"/>
        <item x="64"/>
        <item x="65"/>
        <item x="66"/>
        <item x="67"/>
        <item x="57"/>
        <item x="74"/>
        <item x="75"/>
        <item x="76"/>
        <item x="77"/>
        <item x="3"/>
        <item x="4"/>
        <item x="5"/>
        <item x="78"/>
        <item x="79"/>
        <item x="80"/>
        <item x="81"/>
        <item x="82"/>
        <item x="83"/>
        <item x="84"/>
        <item x="6"/>
        <item x="7"/>
        <item x="8"/>
        <item x="9"/>
        <item x="85"/>
        <item x="86"/>
        <item x="87"/>
        <item x="88"/>
        <item x="89"/>
        <item x="90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68"/>
        <item x="69"/>
        <item x="70"/>
        <item x="55"/>
        <item x="71"/>
        <item x="72"/>
        <item x="73"/>
        <item x="56"/>
        <item t="default"/>
      </items>
    </pivotField>
    <pivotField showAll="0"/>
    <pivotField showAll="0" measureFilter="1"/>
    <pivotField showAll="0">
      <items count="23">
        <item x="18"/>
        <item x="19"/>
        <item x="5"/>
        <item x="16"/>
        <item x="7"/>
        <item x="0"/>
        <item x="21"/>
        <item x="6"/>
        <item x="13"/>
        <item x="9"/>
        <item x="14"/>
        <item x="15"/>
        <item x="20"/>
        <item x="10"/>
        <item x="12"/>
        <item x="4"/>
        <item x="2"/>
        <item x="17"/>
        <item x="1"/>
        <item x="8"/>
        <item x="3"/>
        <item x="11"/>
        <item t="default"/>
      </items>
    </pivotField>
    <pivotField dataField="1" showAll="0" measureFilter="1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Soma de Receita (R$)" fld="11" baseField="2" baseItem="36" numFmtId="173"/>
  </dataFields>
  <chartFormats count="6">
    <chartFormat chart="1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4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4" format="7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64" format="8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2">
    <filter fld="11" type="valueGreaterThan" evalOrder="-1" id="3" iMeasureFld="0">
      <autoFilter ref="A1">
        <filterColumn colId="0">
          <customFilters>
            <customFilter operator="greaterThan" val="1500"/>
          </customFilters>
        </filterColumn>
      </autoFilter>
    </filter>
    <filter fld="9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AE62DA-E2F5-4228-BD7D-6AE36CBD67B9}" name="Tabela dinâmica3" cacheId="7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3">
  <location ref="G3:H6" firstHeaderRow="1" firstDataRow="1" firstDataCol="1"/>
  <pivotFields count="16">
    <pivotField showAll="0"/>
    <pivotField axis="axisRow" showAll="0">
      <items count="3">
        <item x="0"/>
        <item x="1"/>
        <item t="default"/>
      </items>
    </pivotField>
    <pivotField showAll="0" sortType="a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numFmtId="164" showAll="0"/>
    <pivotField showAll="0">
      <items count="92">
        <item x="0"/>
        <item x="1"/>
        <item x="2"/>
        <item x="58"/>
        <item x="59"/>
        <item x="60"/>
        <item x="61"/>
        <item x="62"/>
        <item x="63"/>
        <item x="64"/>
        <item x="65"/>
        <item x="66"/>
        <item x="67"/>
        <item x="57"/>
        <item x="74"/>
        <item x="75"/>
        <item x="76"/>
        <item x="77"/>
        <item x="3"/>
        <item x="4"/>
        <item x="5"/>
        <item x="78"/>
        <item x="79"/>
        <item x="80"/>
        <item x="81"/>
        <item x="82"/>
        <item x="83"/>
        <item x="84"/>
        <item x="6"/>
        <item x="7"/>
        <item x="8"/>
        <item x="9"/>
        <item x="85"/>
        <item x="86"/>
        <item x="87"/>
        <item x="88"/>
        <item x="89"/>
        <item x="90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68"/>
        <item x="69"/>
        <item x="70"/>
        <item x="55"/>
        <item x="71"/>
        <item x="72"/>
        <item x="73"/>
        <item x="56"/>
        <item t="default"/>
      </items>
    </pivotField>
    <pivotField showAll="0"/>
    <pivotField showAll="0" measureFilter="1"/>
    <pivotField showAll="0">
      <items count="23">
        <item x="18"/>
        <item x="19"/>
        <item x="5"/>
        <item x="16"/>
        <item x="7"/>
        <item x="0"/>
        <item x="21"/>
        <item x="6"/>
        <item x="13"/>
        <item x="9"/>
        <item x="14"/>
        <item x="15"/>
        <item x="20"/>
        <item x="10"/>
        <item x="12"/>
        <item x="4"/>
        <item x="2"/>
        <item x="17"/>
        <item x="1"/>
        <item x="8"/>
        <item x="3"/>
        <item x="11"/>
        <item t="default"/>
      </items>
    </pivotField>
    <pivotField dataField="1" showAll="0" measureFilter="1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Soma de Receita (R$)" fld="11" baseField="2" baseItem="36" numFmtId="173"/>
  </dataFields>
  <chartFormats count="6">
    <chartFormat chart="1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4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4" format="7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64" format="8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2">
    <filter fld="11" type="valueGreaterThan" evalOrder="-1" id="3" iMeasureFld="0">
      <autoFilter ref="A1">
        <filterColumn colId="0">
          <customFilters>
            <customFilter operator="greaterThan" val="1500"/>
          </customFilters>
        </filterColumn>
      </autoFilter>
    </filter>
    <filter fld="9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6D2B67-E973-4310-9AA4-2AE11344E120}" name="faixa_etaria" cacheId="7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3">
  <location ref="D3:E9" firstHeaderRow="1" firstDataRow="1" firstDataCol="1"/>
  <pivotFields count="16">
    <pivotField showAll="0"/>
    <pivotField showAll="0"/>
    <pivotField showAll="0" sortType="a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numFmtId="164" showAll="0"/>
    <pivotField showAll="0">
      <items count="92">
        <item x="0"/>
        <item x="1"/>
        <item x="2"/>
        <item x="58"/>
        <item x="59"/>
        <item x="60"/>
        <item x="61"/>
        <item x="62"/>
        <item x="63"/>
        <item x="64"/>
        <item x="65"/>
        <item x="66"/>
        <item x="67"/>
        <item x="57"/>
        <item x="74"/>
        <item x="75"/>
        <item x="76"/>
        <item x="77"/>
        <item x="3"/>
        <item x="4"/>
        <item x="5"/>
        <item x="78"/>
        <item x="79"/>
        <item x="80"/>
        <item x="81"/>
        <item x="82"/>
        <item x="83"/>
        <item x="84"/>
        <item x="6"/>
        <item x="7"/>
        <item x="8"/>
        <item x="9"/>
        <item x="85"/>
        <item x="86"/>
        <item x="87"/>
        <item x="88"/>
        <item x="89"/>
        <item x="90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68"/>
        <item x="69"/>
        <item x="70"/>
        <item x="55"/>
        <item x="71"/>
        <item x="72"/>
        <item x="73"/>
        <item x="56"/>
        <item t="default"/>
      </items>
    </pivotField>
    <pivotField showAll="0"/>
    <pivotField showAll="0" measureFilter="1"/>
    <pivotField showAll="0">
      <items count="23">
        <item x="18"/>
        <item x="19"/>
        <item x="5"/>
        <item x="16"/>
        <item x="7"/>
        <item x="0"/>
        <item x="21"/>
        <item x="6"/>
        <item x="13"/>
        <item x="9"/>
        <item x="14"/>
        <item x="15"/>
        <item x="20"/>
        <item x="10"/>
        <item x="12"/>
        <item x="4"/>
        <item x="2"/>
        <item x="17"/>
        <item x="1"/>
        <item x="8"/>
        <item x="3"/>
        <item x="11"/>
        <item t="default"/>
      </items>
    </pivotField>
    <pivotField dataField="1" showAll="0" measureFilter="1"/>
    <pivotField axis="axisRow" showAll="0">
      <items count="6">
        <item x="2"/>
        <item x="0"/>
        <item x="1"/>
        <item x="3"/>
        <item x="4"/>
        <item t="default"/>
      </items>
    </pivotField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oma de Receita (R$)" fld="11" baseField="2" baseItem="36" numFmtId="173"/>
  </dataFields>
  <chartFormats count="2">
    <chartFormat chart="1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2">
    <filter fld="9" type="count" evalOrder="-1" id="1" iMeasureFld="0">
      <autoFilter ref="A1">
        <filterColumn colId="0">
          <top10 val="5" filterVal="5"/>
        </filterColumn>
      </autoFilter>
    </filter>
    <filter fld="11" type="valueGreaterThan" evalOrder="-1" id="3" iMeasureFld="0">
      <autoFilter ref="A1">
        <filterColumn colId="0">
          <customFilters>
            <customFilter operator="greaterThan" val="1500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BBEA24-81A2-453F-81C7-74112DCD1E7D}" name="Venda_por_albuns" cacheId="7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4">
  <location ref="A3:B9" firstHeaderRow="1" firstDataRow="1" firstDataCol="1"/>
  <pivotFields count="16">
    <pivotField showAll="0"/>
    <pivotField showAll="0"/>
    <pivotField showAll="0"/>
    <pivotField showAll="0"/>
    <pivotField showAll="0"/>
    <pivotField showAll="0"/>
    <pivotField numFmtId="164" showAll="0"/>
    <pivotField showAll="0">
      <items count="92">
        <item x="0"/>
        <item x="1"/>
        <item x="2"/>
        <item x="58"/>
        <item x="59"/>
        <item x="60"/>
        <item x="61"/>
        <item x="62"/>
        <item x="63"/>
        <item x="64"/>
        <item x="65"/>
        <item x="66"/>
        <item x="67"/>
        <item x="57"/>
        <item x="74"/>
        <item x="75"/>
        <item x="76"/>
        <item x="77"/>
        <item x="3"/>
        <item x="4"/>
        <item x="5"/>
        <item x="78"/>
        <item x="79"/>
        <item x="80"/>
        <item x="81"/>
        <item x="82"/>
        <item x="83"/>
        <item x="84"/>
        <item x="6"/>
        <item x="7"/>
        <item x="8"/>
        <item x="9"/>
        <item x="85"/>
        <item x="86"/>
        <item x="87"/>
        <item x="88"/>
        <item x="89"/>
        <item x="90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68"/>
        <item x="69"/>
        <item x="70"/>
        <item x="55"/>
        <item x="71"/>
        <item x="72"/>
        <item x="73"/>
        <item x="56"/>
        <item t="default"/>
      </items>
    </pivotField>
    <pivotField showAll="0"/>
    <pivotField axis="axisRow" showAll="0" measureFilter="1">
      <items count="31">
        <item x="15"/>
        <item x="13"/>
        <item x="22"/>
        <item x="7"/>
        <item x="24"/>
        <item x="12"/>
        <item x="29"/>
        <item x="21"/>
        <item x="2"/>
        <item x="8"/>
        <item x="26"/>
        <item x="6"/>
        <item x="5"/>
        <item x="23"/>
        <item x="0"/>
        <item x="3"/>
        <item x="25"/>
        <item x="14"/>
        <item x="10"/>
        <item x="19"/>
        <item x="4"/>
        <item x="27"/>
        <item x="1"/>
        <item x="9"/>
        <item x="18"/>
        <item x="20"/>
        <item x="28"/>
        <item x="16"/>
        <item x="17"/>
        <item x="11"/>
        <item t="default"/>
      </items>
    </pivotField>
    <pivotField showAll="0">
      <items count="23">
        <item x="18"/>
        <item x="19"/>
        <item x="5"/>
        <item x="16"/>
        <item x="7"/>
        <item x="0"/>
        <item x="21"/>
        <item x="6"/>
        <item x="13"/>
        <item x="9"/>
        <item x="14"/>
        <item x="15"/>
        <item x="20"/>
        <item x="10"/>
        <item x="12"/>
        <item x="4"/>
        <item x="2"/>
        <item x="17"/>
        <item x="1"/>
        <item x="8"/>
        <item x="3"/>
        <item x="11"/>
        <item t="default"/>
      </items>
    </pivotField>
    <pivotField showAll="0"/>
    <pivotField showAll="0"/>
    <pivotField dataField="1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9"/>
  </rowFields>
  <rowItems count="6">
    <i>
      <x v="14"/>
    </i>
    <i>
      <x v="18"/>
    </i>
    <i>
      <x v="20"/>
    </i>
    <i>
      <x v="28"/>
    </i>
    <i>
      <x v="29"/>
    </i>
    <i t="grand">
      <x/>
    </i>
  </rowItems>
  <colItems count="1">
    <i/>
  </colItems>
  <dataFields count="1">
    <dataField name="Soma de Receita Líquida" fld="13" baseField="9" baseItem="0" numFmtId="173"/>
  </dataFields>
  <chartFormats count="1">
    <chartFormat chart="1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9" type="count" evalOrder="-1" id="2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Artista" xr10:uid="{59F80613-2ADB-4E33-B32E-0E713D81D933}" sourceName="Artista">
  <pivotTables>
    <pivotTable tabId="6" name="faixa_etaria"/>
    <pivotTable tabId="6" name="mes_venda"/>
    <pivotTable tabId="6" name="qtd_vendida"/>
    <pivotTable tabId="6" name="receita_liq"/>
    <pivotTable tabId="6" name="receita_por_estado"/>
    <pivotTable tabId="6" name="receita_total"/>
    <pivotTable tabId="6" name="Tabela dinâmica3"/>
    <pivotTable tabId="6" name="Venda_por_albuns"/>
  </pivotTables>
  <data>
    <tabular pivotCacheId="1562064338">
      <items count="22">
        <i x="18" s="1"/>
        <i x="19" s="1"/>
        <i x="5" s="1"/>
        <i x="16" s="1"/>
        <i x="7" s="1"/>
        <i x="0" s="1"/>
        <i x="21" s="1"/>
        <i x="6" s="1"/>
        <i x="13" s="1"/>
        <i x="9" s="1"/>
        <i x="14" s="1"/>
        <i x="15" s="1"/>
        <i x="20" s="1"/>
        <i x="10" s="1"/>
        <i x="12" s="1"/>
        <i x="4" s="1"/>
        <i x="2" s="1"/>
        <i x="17" s="1"/>
        <i x="1" s="1"/>
        <i x="8" s="1"/>
        <i x="3" s="1"/>
        <i x="11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Artista" xr10:uid="{5D3F8A18-6C6C-41EC-8DE3-4EFF52EC5DD5}" cache="SegmentaçãodeDados_Artista" caption="Artista" style="SlicerStyleLight2 2" rowHeight="241300"/>
</slicer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Office 2007 - 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 2007 - 2010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 2007 - 2010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Office 2007 - 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 2007 - 2010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 2007 - 2010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.xml><?xml version="1.0" encoding="utf-8"?>
<a:themeOverride xmlns:a="http://schemas.openxmlformats.org/drawingml/2006/main">
  <a:clrScheme name="Office 2007 - 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 2007 - 2010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 2007 - 2010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4.xml><?xml version="1.0" encoding="utf-8"?>
<a:themeOverride xmlns:a="http://schemas.openxmlformats.org/drawingml/2006/main">
  <a:clrScheme name="Office 2007 - 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 2007 - 2010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 2007 - 2010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5.xml><?xml version="1.0" encoding="utf-8"?>
<a:themeOverride xmlns:a="http://schemas.openxmlformats.org/drawingml/2006/main">
  <a:clrScheme name="Office 2007 - 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 2007 - 2010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 2007 - 2010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BCA42-2159-4C42-8DCE-A4C5388C549A}">
  <dimension ref="A1"/>
  <sheetViews>
    <sheetView zoomScale="115" zoomScaleNormal="115" workbookViewId="0">
      <selection activeCell="E39" sqref="E39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868EA-A853-4CA8-B7BE-4CAAE02B8F5F}">
  <dimension ref="A1:M34"/>
  <sheetViews>
    <sheetView topLeftCell="B1" zoomScale="90" zoomScaleNormal="90" workbookViewId="0">
      <selection activeCell="E39" sqref="E39"/>
    </sheetView>
  </sheetViews>
  <sheetFormatPr defaultRowHeight="14.25" customHeight="1" x14ac:dyDescent="0.25"/>
  <cols>
    <col min="1" max="1" width="17.5703125" bestFit="1" customWidth="1"/>
    <col min="2" max="2" width="19.5703125" bestFit="1" customWidth="1"/>
    <col min="3" max="3" width="3" customWidth="1"/>
    <col min="4" max="4" width="3.42578125" customWidth="1"/>
    <col min="5" max="5" width="39.5703125" bestFit="1" customWidth="1"/>
    <col min="6" max="6" width="11.5703125" bestFit="1" customWidth="1"/>
    <col min="7" max="7" width="3.85546875" customWidth="1"/>
    <col min="8" max="8" width="19" bestFit="1" customWidth="1"/>
    <col min="9" max="9" width="12.85546875" customWidth="1"/>
    <col min="12" max="12" width="10.42578125" customWidth="1"/>
    <col min="13" max="13" width="31.7109375" customWidth="1"/>
  </cols>
  <sheetData>
    <row r="1" spans="1:13" ht="21" customHeight="1" x14ac:dyDescent="0.3">
      <c r="A1" s="31" t="s">
        <v>217</v>
      </c>
      <c r="B1" s="31"/>
      <c r="C1" s="31"/>
      <c r="D1" s="31"/>
      <c r="H1" s="3" t="s">
        <v>218</v>
      </c>
      <c r="L1" t="s">
        <v>239</v>
      </c>
    </row>
    <row r="2" spans="1:13" ht="14.25" customHeight="1" x14ac:dyDescent="0.25">
      <c r="A2" s="29" t="s">
        <v>1</v>
      </c>
      <c r="B2" s="30" t="s">
        <v>5</v>
      </c>
      <c r="E2" s="29" t="s">
        <v>10</v>
      </c>
      <c r="F2" s="30" t="s">
        <v>5</v>
      </c>
      <c r="H2" s="4" t="s">
        <v>219</v>
      </c>
      <c r="I2" s="1">
        <v>84920</v>
      </c>
      <c r="L2" s="20" t="s">
        <v>231</v>
      </c>
      <c r="M2" s="21" t="s">
        <v>232</v>
      </c>
    </row>
    <row r="3" spans="1:13" ht="14.25" customHeight="1" x14ac:dyDescent="0.25">
      <c r="A3" t="s">
        <v>106</v>
      </c>
      <c r="B3">
        <v>194</v>
      </c>
      <c r="E3" t="s">
        <v>214</v>
      </c>
      <c r="F3">
        <v>36</v>
      </c>
      <c r="H3" s="4" t="s">
        <v>220</v>
      </c>
      <c r="I3" s="5">
        <v>334</v>
      </c>
      <c r="L3" s="17" t="s">
        <v>233</v>
      </c>
      <c r="M3" s="18">
        <v>6000</v>
      </c>
    </row>
    <row r="4" spans="1:13" ht="14.25" customHeight="1" x14ac:dyDescent="0.25">
      <c r="A4" t="s">
        <v>107</v>
      </c>
      <c r="B4">
        <v>140</v>
      </c>
      <c r="E4" t="s">
        <v>212</v>
      </c>
      <c r="F4">
        <v>104</v>
      </c>
      <c r="H4" s="4" t="s">
        <v>221</v>
      </c>
      <c r="I4" s="5">
        <v>100</v>
      </c>
      <c r="L4" s="17" t="s">
        <v>234</v>
      </c>
      <c r="M4" s="19">
        <v>800</v>
      </c>
    </row>
    <row r="5" spans="1:13" ht="14.25" customHeight="1" x14ac:dyDescent="0.25">
      <c r="E5" t="s">
        <v>213</v>
      </c>
      <c r="F5">
        <v>130</v>
      </c>
      <c r="L5" s="17" t="s">
        <v>235</v>
      </c>
      <c r="M5" s="19">
        <v>300</v>
      </c>
    </row>
    <row r="6" spans="1:13" ht="14.25" customHeight="1" x14ac:dyDescent="0.25">
      <c r="E6" t="s">
        <v>215</v>
      </c>
      <c r="F6">
        <v>51</v>
      </c>
      <c r="L6" s="17" t="s">
        <v>236</v>
      </c>
      <c r="M6" s="18">
        <v>8000</v>
      </c>
    </row>
    <row r="7" spans="1:13" ht="14.25" customHeight="1" x14ac:dyDescent="0.25">
      <c r="E7" t="s">
        <v>216</v>
      </c>
      <c r="F7">
        <v>13</v>
      </c>
      <c r="L7" s="17" t="s">
        <v>237</v>
      </c>
      <c r="M7" s="18">
        <v>1000</v>
      </c>
    </row>
    <row r="8" spans="1:13" ht="14.25" customHeight="1" x14ac:dyDescent="0.25">
      <c r="L8" s="27" t="s">
        <v>238</v>
      </c>
      <c r="M8" s="26">
        <v>16100</v>
      </c>
    </row>
    <row r="10" spans="1:13" ht="14.25" customHeight="1" x14ac:dyDescent="0.25">
      <c r="A10" s="29" t="s">
        <v>8</v>
      </c>
      <c r="B10" s="30" t="s">
        <v>9</v>
      </c>
      <c r="E10" s="29" t="s">
        <v>7</v>
      </c>
      <c r="F10" s="30" t="s">
        <v>5</v>
      </c>
      <c r="L10" s="20" t="s">
        <v>231</v>
      </c>
      <c r="M10" s="21" t="s">
        <v>240</v>
      </c>
    </row>
    <row r="11" spans="1:13" ht="14.25" customHeight="1" x14ac:dyDescent="0.25">
      <c r="A11" t="s">
        <v>200</v>
      </c>
      <c r="B11">
        <v>18010</v>
      </c>
      <c r="E11" t="s">
        <v>177</v>
      </c>
      <c r="F11">
        <v>28</v>
      </c>
      <c r="L11" s="23" t="s">
        <v>241</v>
      </c>
      <c r="M11" s="24">
        <v>0.05</v>
      </c>
    </row>
    <row r="12" spans="1:13" ht="14.25" customHeight="1" x14ac:dyDescent="0.25">
      <c r="A12" t="s">
        <v>190</v>
      </c>
      <c r="B12">
        <v>10785</v>
      </c>
      <c r="E12" t="s">
        <v>170</v>
      </c>
      <c r="F12">
        <v>27</v>
      </c>
      <c r="L12" s="17" t="s">
        <v>242</v>
      </c>
      <c r="M12" s="25">
        <v>7.0000000000000007E-2</v>
      </c>
    </row>
    <row r="13" spans="1:13" ht="14.25" customHeight="1" x14ac:dyDescent="0.25">
      <c r="A13" t="s">
        <v>199</v>
      </c>
      <c r="B13">
        <v>7830</v>
      </c>
      <c r="E13" t="s">
        <v>160</v>
      </c>
      <c r="F13">
        <v>24</v>
      </c>
      <c r="L13" s="17" t="s">
        <v>243</v>
      </c>
      <c r="M13" s="25">
        <v>0.03</v>
      </c>
    </row>
    <row r="14" spans="1:13" ht="14.25" customHeight="1" x14ac:dyDescent="0.25">
      <c r="A14" t="s">
        <v>194</v>
      </c>
      <c r="B14">
        <v>5610</v>
      </c>
      <c r="E14" t="s">
        <v>175</v>
      </c>
      <c r="F14">
        <v>21</v>
      </c>
      <c r="L14" s="27" t="s">
        <v>238</v>
      </c>
      <c r="M14" s="28">
        <v>0.15</v>
      </c>
    </row>
    <row r="15" spans="1:13" ht="14.25" customHeight="1" x14ac:dyDescent="0.25">
      <c r="A15" t="s">
        <v>203</v>
      </c>
      <c r="B15">
        <v>5440</v>
      </c>
      <c r="E15" t="s">
        <v>181</v>
      </c>
      <c r="F15">
        <v>21</v>
      </c>
    </row>
    <row r="16" spans="1:13" ht="14.25" customHeight="1" x14ac:dyDescent="0.25">
      <c r="A16" t="s">
        <v>204</v>
      </c>
      <c r="B16">
        <v>4095</v>
      </c>
      <c r="E16" t="s">
        <v>179</v>
      </c>
      <c r="F16">
        <v>19</v>
      </c>
    </row>
    <row r="17" spans="1:13" ht="14.25" customHeight="1" x14ac:dyDescent="0.25">
      <c r="A17" t="s">
        <v>207</v>
      </c>
      <c r="B17">
        <v>3990</v>
      </c>
      <c r="E17" t="s">
        <v>171</v>
      </c>
      <c r="F17">
        <v>18</v>
      </c>
      <c r="L17" s="20" t="s">
        <v>244</v>
      </c>
      <c r="M17" s="21" t="s">
        <v>240</v>
      </c>
    </row>
    <row r="18" spans="1:13" ht="14.25" customHeight="1" x14ac:dyDescent="0.25">
      <c r="A18" t="s">
        <v>198</v>
      </c>
      <c r="B18">
        <v>3970</v>
      </c>
      <c r="E18" t="s">
        <v>174</v>
      </c>
      <c r="F18">
        <v>17</v>
      </c>
      <c r="L18" s="23" t="s">
        <v>245</v>
      </c>
      <c r="M18" s="24">
        <v>7.0000000000000007E-2</v>
      </c>
    </row>
    <row r="19" spans="1:13" ht="14.25" customHeight="1" x14ac:dyDescent="0.25">
      <c r="A19" t="s">
        <v>202</v>
      </c>
      <c r="B19">
        <v>3120</v>
      </c>
      <c r="E19" t="s">
        <v>164</v>
      </c>
      <c r="F19">
        <v>17</v>
      </c>
      <c r="L19" s="17" t="s">
        <v>246</v>
      </c>
      <c r="M19" s="25">
        <v>0.02</v>
      </c>
    </row>
    <row r="20" spans="1:13" ht="14.25" customHeight="1" x14ac:dyDescent="0.25">
      <c r="A20" t="s">
        <v>193</v>
      </c>
      <c r="B20">
        <v>3035</v>
      </c>
      <c r="E20" t="s">
        <v>165</v>
      </c>
      <c r="F20">
        <v>15</v>
      </c>
      <c r="L20" s="27" t="s">
        <v>238</v>
      </c>
      <c r="M20" s="28">
        <v>0.09</v>
      </c>
    </row>
    <row r="22" spans="1:13" ht="14.25" customHeight="1" x14ac:dyDescent="0.25">
      <c r="A22" s="29" t="s">
        <v>3</v>
      </c>
      <c r="B22" s="30" t="s">
        <v>9</v>
      </c>
      <c r="E22" s="29" t="s">
        <v>3</v>
      </c>
      <c r="F22" s="30" t="s">
        <v>9</v>
      </c>
    </row>
    <row r="23" spans="1:13" ht="14.25" customHeight="1" x14ac:dyDescent="0.25">
      <c r="A23" t="s">
        <v>112</v>
      </c>
      <c r="B23">
        <v>14660</v>
      </c>
      <c r="E23" t="s">
        <v>112</v>
      </c>
      <c r="F23">
        <v>14660</v>
      </c>
    </row>
    <row r="24" spans="1:13" ht="14.25" customHeight="1" x14ac:dyDescent="0.25">
      <c r="A24" t="s">
        <v>113</v>
      </c>
      <c r="B24">
        <v>9395</v>
      </c>
      <c r="E24" t="s">
        <v>113</v>
      </c>
      <c r="F24">
        <v>9395</v>
      </c>
    </row>
    <row r="25" spans="1:13" ht="14.25" customHeight="1" x14ac:dyDescent="0.25">
      <c r="A25" t="s">
        <v>108</v>
      </c>
      <c r="B25">
        <v>8710</v>
      </c>
      <c r="E25" t="s">
        <v>108</v>
      </c>
      <c r="F25">
        <v>8710</v>
      </c>
    </row>
    <row r="26" spans="1:13" ht="14.25" customHeight="1" x14ac:dyDescent="0.25">
      <c r="A26" t="s">
        <v>119</v>
      </c>
      <c r="B26">
        <v>7500</v>
      </c>
      <c r="E26" t="s">
        <v>119</v>
      </c>
      <c r="F26">
        <v>7500</v>
      </c>
    </row>
    <row r="27" spans="1:13" ht="14.25" customHeight="1" x14ac:dyDescent="0.25">
      <c r="A27" t="s">
        <v>109</v>
      </c>
      <c r="B27">
        <v>7305</v>
      </c>
      <c r="E27" t="s">
        <v>109</v>
      </c>
      <c r="F27">
        <v>7305</v>
      </c>
    </row>
    <row r="28" spans="1:13" ht="14.25" customHeight="1" x14ac:dyDescent="0.25">
      <c r="A28" t="s">
        <v>117</v>
      </c>
      <c r="B28">
        <v>7160</v>
      </c>
      <c r="E28" t="s">
        <v>117</v>
      </c>
      <c r="F28">
        <v>7160</v>
      </c>
    </row>
    <row r="29" spans="1:13" ht="14.25" customHeight="1" x14ac:dyDescent="0.25">
      <c r="A29" t="s">
        <v>110</v>
      </c>
      <c r="B29">
        <v>6165</v>
      </c>
      <c r="E29" t="s">
        <v>110</v>
      </c>
      <c r="F29">
        <v>6165</v>
      </c>
    </row>
    <row r="30" spans="1:13" ht="14.25" customHeight="1" x14ac:dyDescent="0.25">
      <c r="A30" t="s">
        <v>116</v>
      </c>
      <c r="B30">
        <v>6110</v>
      </c>
      <c r="E30" t="s">
        <v>116</v>
      </c>
      <c r="F30">
        <v>6110</v>
      </c>
    </row>
    <row r="31" spans="1:13" ht="14.25" customHeight="1" x14ac:dyDescent="0.25">
      <c r="A31" t="s">
        <v>111</v>
      </c>
      <c r="B31">
        <v>5940</v>
      </c>
      <c r="E31" t="s">
        <v>111</v>
      </c>
      <c r="F31">
        <v>5940</v>
      </c>
    </row>
    <row r="32" spans="1:13" ht="14.25" customHeight="1" x14ac:dyDescent="0.25">
      <c r="A32" t="s">
        <v>115</v>
      </c>
      <c r="B32">
        <v>4585</v>
      </c>
      <c r="E32" t="s">
        <v>115</v>
      </c>
      <c r="F32">
        <v>4585</v>
      </c>
    </row>
    <row r="33" spans="1:2" ht="14.25" customHeight="1" x14ac:dyDescent="0.25">
      <c r="A33" t="s">
        <v>114</v>
      </c>
      <c r="B33">
        <v>4305</v>
      </c>
    </row>
    <row r="34" spans="1:2" ht="14.25" customHeight="1" x14ac:dyDescent="0.25">
      <c r="A34" t="s">
        <v>118</v>
      </c>
      <c r="B34">
        <v>3085</v>
      </c>
    </row>
  </sheetData>
  <mergeCells count="1">
    <mergeCell ref="A1:D1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FC0C5-BDB4-4AE5-B68C-ED3F9488EDB2}">
  <dimension ref="A3:AA34"/>
  <sheetViews>
    <sheetView topLeftCell="V1" workbookViewId="0">
      <selection activeCell="Z4" sqref="Z4:Z8"/>
      <pivotSelection pane="bottomRight" showHeader="1" activeRow="10" activeCol="25" click="1" r:id="rId1">
        <pivotArea dataOnly="0" labelOnly="1" fieldPosition="0">
          <references count="1">
            <reference field="10" count="0"/>
          </references>
        </pivotArea>
      </pivotSelection>
    </sheetView>
  </sheetViews>
  <sheetFormatPr defaultRowHeight="15" x14ac:dyDescent="0.25"/>
  <cols>
    <col min="1" max="1" width="19.42578125" bestFit="1" customWidth="1"/>
    <col min="2" max="3" width="22.85546875" bestFit="1" customWidth="1"/>
    <col min="4" max="4" width="18" bestFit="1" customWidth="1"/>
    <col min="5" max="5" width="19.85546875" bestFit="1" customWidth="1"/>
    <col min="6" max="6" width="4.42578125" customWidth="1"/>
    <col min="7" max="7" width="18" bestFit="1" customWidth="1"/>
    <col min="8" max="8" width="19.85546875" bestFit="1" customWidth="1"/>
    <col min="9" max="9" width="8" customWidth="1"/>
    <col min="10" max="10" width="18" bestFit="1" customWidth="1"/>
    <col min="11" max="11" width="19.85546875" bestFit="1" customWidth="1"/>
    <col min="13" max="13" width="39.5703125" bestFit="1" customWidth="1"/>
    <col min="14" max="14" width="27.85546875" bestFit="1" customWidth="1"/>
    <col min="15" max="15" width="8.5703125" customWidth="1"/>
    <col min="16" max="16" width="18" bestFit="1" customWidth="1"/>
    <col min="17" max="17" width="19.85546875" bestFit="1" customWidth="1"/>
    <col min="18" max="18" width="6.7109375" customWidth="1"/>
    <col min="19" max="19" width="18" bestFit="1" customWidth="1"/>
    <col min="20" max="20" width="19.85546875" bestFit="1" customWidth="1"/>
    <col min="21" max="21" width="27.85546875" bestFit="1" customWidth="1"/>
    <col min="23" max="23" width="18" bestFit="1" customWidth="1"/>
    <col min="24" max="24" width="22.85546875" bestFit="1" customWidth="1"/>
    <col min="25" max="25" width="16.5703125" customWidth="1"/>
    <col min="26" max="26" width="18" bestFit="1" customWidth="1"/>
    <col min="27" max="27" width="22.85546875" bestFit="1" customWidth="1"/>
  </cols>
  <sheetData>
    <row r="3" spans="1:27" x14ac:dyDescent="0.25">
      <c r="A3" s="12" t="s">
        <v>227</v>
      </c>
      <c r="B3" t="s">
        <v>265</v>
      </c>
      <c r="D3" s="12" t="s">
        <v>227</v>
      </c>
      <c r="E3" t="s">
        <v>229</v>
      </c>
      <c r="G3" s="12" t="s">
        <v>227</v>
      </c>
      <c r="H3" t="s">
        <v>229</v>
      </c>
      <c r="J3" s="12" t="s">
        <v>227</v>
      </c>
      <c r="K3" t="s">
        <v>229</v>
      </c>
      <c r="M3" s="12" t="s">
        <v>227</v>
      </c>
      <c r="N3" t="s">
        <v>230</v>
      </c>
      <c r="P3" s="12" t="s">
        <v>227</v>
      </c>
      <c r="Q3" t="s">
        <v>229</v>
      </c>
      <c r="S3" s="12" t="s">
        <v>227</v>
      </c>
      <c r="T3" t="s">
        <v>229</v>
      </c>
      <c r="U3" t="s">
        <v>230</v>
      </c>
      <c r="W3" s="12" t="s">
        <v>227</v>
      </c>
      <c r="X3" t="s">
        <v>265</v>
      </c>
      <c r="Z3" s="12" t="s">
        <v>227</v>
      </c>
      <c r="AA3" t="s">
        <v>265</v>
      </c>
    </row>
    <row r="4" spans="1:27" x14ac:dyDescent="0.25">
      <c r="A4" s="13" t="s">
        <v>160</v>
      </c>
      <c r="B4" s="32">
        <v>4924.8</v>
      </c>
      <c r="D4" s="13" t="s">
        <v>214</v>
      </c>
      <c r="E4" s="32">
        <v>8925</v>
      </c>
      <c r="G4" s="13" t="s">
        <v>106</v>
      </c>
      <c r="H4" s="32">
        <v>50015</v>
      </c>
      <c r="J4" s="13" t="s">
        <v>106</v>
      </c>
      <c r="K4" s="32">
        <v>50015</v>
      </c>
      <c r="M4" s="13" t="s">
        <v>175</v>
      </c>
      <c r="N4" s="14">
        <v>21</v>
      </c>
      <c r="P4" s="13" t="s">
        <v>113</v>
      </c>
      <c r="Q4" s="14">
        <v>9395</v>
      </c>
      <c r="S4" s="13" t="s">
        <v>256</v>
      </c>
      <c r="T4" s="14">
        <v>11400</v>
      </c>
      <c r="U4" s="14">
        <v>47</v>
      </c>
      <c r="W4" s="13" t="s">
        <v>256</v>
      </c>
      <c r="X4" s="32">
        <v>8664</v>
      </c>
      <c r="Z4" s="13" t="s">
        <v>203</v>
      </c>
      <c r="AA4" s="32">
        <v>4134.3999999999996</v>
      </c>
    </row>
    <row r="5" spans="1:27" x14ac:dyDescent="0.25">
      <c r="A5" s="13" t="s">
        <v>170</v>
      </c>
      <c r="B5" s="32">
        <v>5950.8000000000011</v>
      </c>
      <c r="D5" s="13" t="s">
        <v>212</v>
      </c>
      <c r="E5" s="32">
        <v>26875</v>
      </c>
      <c r="G5" s="13" t="s">
        <v>107</v>
      </c>
      <c r="H5" s="32">
        <v>34905</v>
      </c>
      <c r="J5" s="13" t="s">
        <v>107</v>
      </c>
      <c r="K5" s="32">
        <v>34905</v>
      </c>
      <c r="M5" s="13" t="s">
        <v>173</v>
      </c>
      <c r="N5" s="14">
        <v>12</v>
      </c>
      <c r="P5" s="13" t="s">
        <v>119</v>
      </c>
      <c r="Q5" s="14">
        <v>7500</v>
      </c>
      <c r="S5" s="13" t="s">
        <v>255</v>
      </c>
      <c r="T5" s="14">
        <v>14210</v>
      </c>
      <c r="U5" s="14">
        <v>56</v>
      </c>
      <c r="W5" s="13" t="s">
        <v>255</v>
      </c>
      <c r="X5" s="32">
        <v>10799.6</v>
      </c>
      <c r="Z5" s="13" t="s">
        <v>194</v>
      </c>
      <c r="AA5" s="32">
        <v>4263.6000000000004</v>
      </c>
    </row>
    <row r="6" spans="1:27" x14ac:dyDescent="0.25">
      <c r="A6" s="13" t="s">
        <v>164</v>
      </c>
      <c r="B6" s="32">
        <v>4263.6000000000004</v>
      </c>
      <c r="D6" s="13" t="s">
        <v>213</v>
      </c>
      <c r="E6" s="32">
        <v>31815</v>
      </c>
      <c r="G6" s="13" t="s">
        <v>228</v>
      </c>
      <c r="H6" s="32">
        <v>84920</v>
      </c>
      <c r="J6" s="13" t="s">
        <v>228</v>
      </c>
      <c r="K6" s="32">
        <v>84920</v>
      </c>
      <c r="L6" s="33">
        <f>GETPIVOTDATA("Receita (R$)",$J$3)</f>
        <v>84920</v>
      </c>
      <c r="M6" s="13" t="s">
        <v>182</v>
      </c>
      <c r="N6" s="14">
        <v>10</v>
      </c>
      <c r="P6" s="13" t="s">
        <v>111</v>
      </c>
      <c r="Q6" s="14">
        <v>5940</v>
      </c>
      <c r="S6" s="13" t="s">
        <v>254</v>
      </c>
      <c r="T6" s="14">
        <v>11120</v>
      </c>
      <c r="U6" s="14">
        <v>42</v>
      </c>
      <c r="W6" s="13" t="s">
        <v>254</v>
      </c>
      <c r="X6" s="32">
        <v>8451.2000000000007</v>
      </c>
      <c r="Z6" s="13" t="s">
        <v>199</v>
      </c>
      <c r="AA6" s="32">
        <v>5950.8000000000011</v>
      </c>
    </row>
    <row r="7" spans="1:27" x14ac:dyDescent="0.25">
      <c r="A7" s="13" t="s">
        <v>177</v>
      </c>
      <c r="B7" s="32">
        <v>7235.1999999999989</v>
      </c>
      <c r="D7" s="13" t="s">
        <v>215</v>
      </c>
      <c r="E7" s="32">
        <v>13085</v>
      </c>
      <c r="M7" s="13" t="s">
        <v>167</v>
      </c>
      <c r="N7" s="14">
        <v>6</v>
      </c>
      <c r="P7" s="13" t="s">
        <v>116</v>
      </c>
      <c r="Q7" s="14">
        <v>6110</v>
      </c>
      <c r="S7" s="13" t="s">
        <v>257</v>
      </c>
      <c r="T7" s="14">
        <v>7850</v>
      </c>
      <c r="U7" s="14">
        <v>28</v>
      </c>
      <c r="W7" s="13" t="s">
        <v>257</v>
      </c>
      <c r="X7" s="32">
        <v>5966</v>
      </c>
      <c r="Z7" s="13" t="s">
        <v>190</v>
      </c>
      <c r="AA7" s="32">
        <v>8196.6</v>
      </c>
    </row>
    <row r="8" spans="1:27" x14ac:dyDescent="0.25">
      <c r="A8" s="13" t="s">
        <v>171</v>
      </c>
      <c r="B8" s="32">
        <v>4172.3999999999996</v>
      </c>
      <c r="D8" s="13" t="s">
        <v>216</v>
      </c>
      <c r="E8" s="32">
        <v>4220</v>
      </c>
      <c r="M8" s="13" t="s">
        <v>184</v>
      </c>
      <c r="N8" s="14">
        <v>2</v>
      </c>
      <c r="P8" s="13" t="s">
        <v>115</v>
      </c>
      <c r="Q8" s="14">
        <v>4585</v>
      </c>
      <c r="S8" s="13" t="s">
        <v>258</v>
      </c>
      <c r="T8" s="14">
        <v>8705</v>
      </c>
      <c r="U8" s="14">
        <v>33</v>
      </c>
      <c r="W8" s="13" t="s">
        <v>258</v>
      </c>
      <c r="X8" s="32">
        <v>6615.8</v>
      </c>
      <c r="Z8" s="13" t="s">
        <v>200</v>
      </c>
      <c r="AA8" s="32">
        <v>13687.600000000002</v>
      </c>
    </row>
    <row r="9" spans="1:27" x14ac:dyDescent="0.25">
      <c r="A9" s="13" t="s">
        <v>228</v>
      </c>
      <c r="B9" s="32">
        <v>26546.800000000003</v>
      </c>
      <c r="D9" s="13" t="s">
        <v>228</v>
      </c>
      <c r="E9" s="32">
        <v>84920</v>
      </c>
      <c r="M9" s="13" t="s">
        <v>172</v>
      </c>
      <c r="N9" s="14">
        <v>6</v>
      </c>
      <c r="P9" s="13" t="s">
        <v>114</v>
      </c>
      <c r="Q9" s="14">
        <v>4305</v>
      </c>
      <c r="S9" s="13" t="s">
        <v>259</v>
      </c>
      <c r="T9" s="14">
        <v>11570</v>
      </c>
      <c r="U9" s="14">
        <v>50</v>
      </c>
      <c r="W9" s="13" t="s">
        <v>259</v>
      </c>
      <c r="X9" s="32">
        <v>8793.2000000000007</v>
      </c>
      <c r="Z9" s="13" t="s">
        <v>228</v>
      </c>
      <c r="AA9" s="32">
        <v>36233.000000000007</v>
      </c>
    </row>
    <row r="10" spans="1:27" x14ac:dyDescent="0.25">
      <c r="M10" s="13" t="s">
        <v>189</v>
      </c>
      <c r="N10" s="14">
        <v>3</v>
      </c>
      <c r="P10" s="13" t="s">
        <v>112</v>
      </c>
      <c r="Q10" s="14">
        <v>14660</v>
      </c>
      <c r="S10" s="13" t="s">
        <v>260</v>
      </c>
      <c r="T10" s="14">
        <v>4475</v>
      </c>
      <c r="U10" s="14">
        <v>16</v>
      </c>
      <c r="W10" s="13" t="s">
        <v>260</v>
      </c>
      <c r="X10" s="32">
        <v>3401</v>
      </c>
    </row>
    <row r="11" spans="1:27" x14ac:dyDescent="0.25">
      <c r="M11" s="13" t="s">
        <v>181</v>
      </c>
      <c r="N11" s="14">
        <v>21</v>
      </c>
      <c r="P11" s="13" t="s">
        <v>110</v>
      </c>
      <c r="Q11" s="14">
        <v>6165</v>
      </c>
      <c r="S11" s="13" t="s">
        <v>261</v>
      </c>
      <c r="T11" s="14">
        <v>3445</v>
      </c>
      <c r="U11" s="14">
        <v>11</v>
      </c>
      <c r="W11" s="13" t="s">
        <v>261</v>
      </c>
      <c r="X11" s="32">
        <v>2618.1999999999998</v>
      </c>
    </row>
    <row r="12" spans="1:27" x14ac:dyDescent="0.25">
      <c r="M12" s="13" t="s">
        <v>162</v>
      </c>
      <c r="N12" s="14">
        <v>8</v>
      </c>
      <c r="P12" s="13" t="s">
        <v>108</v>
      </c>
      <c r="Q12" s="14">
        <v>8710</v>
      </c>
      <c r="S12" s="13" t="s">
        <v>262</v>
      </c>
      <c r="T12" s="14">
        <v>3605</v>
      </c>
      <c r="U12" s="14">
        <v>14</v>
      </c>
      <c r="W12" s="13" t="s">
        <v>262</v>
      </c>
      <c r="X12" s="32">
        <v>2739.8</v>
      </c>
      <c r="Y12" s="36">
        <f>GETPIVOTDATA("Receita Líquida",$W$3)</f>
        <v>64539.200000000004</v>
      </c>
    </row>
    <row r="13" spans="1:27" x14ac:dyDescent="0.25">
      <c r="M13" s="13" t="s">
        <v>168</v>
      </c>
      <c r="N13" s="14">
        <v>13</v>
      </c>
      <c r="P13" s="13" t="s">
        <v>109</v>
      </c>
      <c r="Q13" s="14">
        <v>7305</v>
      </c>
      <c r="S13" s="13" t="s">
        <v>263</v>
      </c>
      <c r="T13" s="14">
        <v>8540</v>
      </c>
      <c r="U13" s="14">
        <v>37</v>
      </c>
      <c r="W13" s="13" t="s">
        <v>263</v>
      </c>
      <c r="X13" s="32">
        <v>6490.4</v>
      </c>
    </row>
    <row r="14" spans="1:27" x14ac:dyDescent="0.25">
      <c r="M14" s="13" t="s">
        <v>186</v>
      </c>
      <c r="N14" s="14">
        <v>6</v>
      </c>
      <c r="P14" s="13" t="s">
        <v>117</v>
      </c>
      <c r="Q14" s="14">
        <v>7160</v>
      </c>
      <c r="S14" s="13" t="s">
        <v>228</v>
      </c>
      <c r="T14" s="14">
        <v>84920</v>
      </c>
      <c r="U14" s="14">
        <v>334</v>
      </c>
      <c r="W14" s="13" t="s">
        <v>228</v>
      </c>
      <c r="X14" s="32">
        <v>64539.200000000004</v>
      </c>
    </row>
    <row r="15" spans="1:27" x14ac:dyDescent="0.25">
      <c r="M15" s="13" t="s">
        <v>166</v>
      </c>
      <c r="N15" s="14">
        <v>6</v>
      </c>
      <c r="P15" s="13" t="s">
        <v>118</v>
      </c>
      <c r="Q15" s="14">
        <v>3085</v>
      </c>
    </row>
    <row r="16" spans="1:27" x14ac:dyDescent="0.25">
      <c r="M16" s="13" t="s">
        <v>165</v>
      </c>
      <c r="N16" s="14">
        <v>15</v>
      </c>
      <c r="P16" s="13" t="s">
        <v>228</v>
      </c>
      <c r="Q16" s="14">
        <v>84920</v>
      </c>
    </row>
    <row r="17" spans="13:14" x14ac:dyDescent="0.25">
      <c r="M17" s="13" t="s">
        <v>183</v>
      </c>
      <c r="N17" s="14">
        <v>1</v>
      </c>
    </row>
    <row r="18" spans="13:14" x14ac:dyDescent="0.25">
      <c r="M18" s="13" t="s">
        <v>160</v>
      </c>
      <c r="N18" s="14">
        <v>24</v>
      </c>
    </row>
    <row r="19" spans="13:14" x14ac:dyDescent="0.25">
      <c r="M19" s="13" t="s">
        <v>163</v>
      </c>
      <c r="N19" s="14">
        <v>2</v>
      </c>
    </row>
    <row r="20" spans="13:14" x14ac:dyDescent="0.25">
      <c r="M20" s="13" t="s">
        <v>185</v>
      </c>
      <c r="N20" s="14">
        <v>5</v>
      </c>
    </row>
    <row r="21" spans="13:14" x14ac:dyDescent="0.25">
      <c r="M21" s="13" t="s">
        <v>174</v>
      </c>
      <c r="N21" s="14">
        <v>17</v>
      </c>
    </row>
    <row r="22" spans="13:14" x14ac:dyDescent="0.25">
      <c r="M22" s="13" t="s">
        <v>170</v>
      </c>
      <c r="N22" s="14">
        <v>27</v>
      </c>
    </row>
    <row r="23" spans="13:14" x14ac:dyDescent="0.25">
      <c r="M23" s="13" t="s">
        <v>179</v>
      </c>
      <c r="N23" s="14">
        <v>19</v>
      </c>
    </row>
    <row r="24" spans="13:14" x14ac:dyDescent="0.25">
      <c r="M24" s="13" t="s">
        <v>164</v>
      </c>
      <c r="N24" s="14">
        <v>17</v>
      </c>
    </row>
    <row r="25" spans="13:14" x14ac:dyDescent="0.25">
      <c r="M25" s="13" t="s">
        <v>187</v>
      </c>
      <c r="N25" s="14">
        <v>2</v>
      </c>
    </row>
    <row r="26" spans="13:14" x14ac:dyDescent="0.25">
      <c r="M26" s="13" t="s">
        <v>161</v>
      </c>
      <c r="N26" s="14">
        <v>8</v>
      </c>
    </row>
    <row r="27" spans="13:14" x14ac:dyDescent="0.25">
      <c r="M27" s="13" t="s">
        <v>169</v>
      </c>
      <c r="N27" s="14">
        <v>6</v>
      </c>
    </row>
    <row r="28" spans="13:14" x14ac:dyDescent="0.25">
      <c r="M28" s="13" t="s">
        <v>178</v>
      </c>
      <c r="N28" s="14">
        <v>6</v>
      </c>
    </row>
    <row r="29" spans="13:14" x14ac:dyDescent="0.25">
      <c r="M29" s="13" t="s">
        <v>180</v>
      </c>
      <c r="N29" s="14">
        <v>9</v>
      </c>
    </row>
    <row r="30" spans="13:14" x14ac:dyDescent="0.25">
      <c r="M30" s="13" t="s">
        <v>188</v>
      </c>
      <c r="N30" s="14">
        <v>6</v>
      </c>
    </row>
    <row r="31" spans="13:14" x14ac:dyDescent="0.25">
      <c r="M31" s="13" t="s">
        <v>176</v>
      </c>
      <c r="N31" s="14">
        <v>10</v>
      </c>
    </row>
    <row r="32" spans="13:14" x14ac:dyDescent="0.25">
      <c r="M32" s="13" t="s">
        <v>177</v>
      </c>
      <c r="N32" s="14">
        <v>28</v>
      </c>
    </row>
    <row r="33" spans="13:15" x14ac:dyDescent="0.25">
      <c r="M33" s="13" t="s">
        <v>171</v>
      </c>
      <c r="N33" s="14">
        <v>18</v>
      </c>
    </row>
    <row r="34" spans="13:15" x14ac:dyDescent="0.25">
      <c r="M34" s="13" t="s">
        <v>228</v>
      </c>
      <c r="N34" s="14">
        <v>334</v>
      </c>
      <c r="O34">
        <f>GETPIVOTDATA("Quantidade Vendida",$M$3)</f>
        <v>334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1"/>
  <sheetViews>
    <sheetView topLeftCell="G1" workbookViewId="0">
      <selection activeCell="E39" sqref="E39"/>
    </sheetView>
  </sheetViews>
  <sheetFormatPr defaultRowHeight="15" x14ac:dyDescent="0.25"/>
  <cols>
    <col min="1" max="1" width="25.7109375" customWidth="1"/>
    <col min="2" max="4" width="12.7109375" customWidth="1"/>
    <col min="5" max="5" width="20.7109375" customWidth="1"/>
    <col min="6" max="6" width="18.7109375" customWidth="1"/>
    <col min="7" max="7" width="18.7109375" style="1" customWidth="1"/>
    <col min="8" max="9" width="18.7109375" style="11" customWidth="1"/>
    <col min="10" max="10" width="30.7109375" customWidth="1"/>
    <col min="11" max="11" width="18.7109375" style="1" customWidth="1"/>
    <col min="12" max="12" width="15.85546875" customWidth="1"/>
    <col min="13" max="13" width="17.28515625" customWidth="1"/>
    <col min="14" max="14" width="17.5703125" customWidth="1"/>
  </cols>
  <sheetData>
    <row r="1" spans="1:1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0" t="s">
        <v>222</v>
      </c>
      <c r="I1" s="10" t="s">
        <v>223</v>
      </c>
      <c r="J1" s="2" t="s">
        <v>7</v>
      </c>
      <c r="K1" s="2" t="s">
        <v>8</v>
      </c>
      <c r="L1" s="2" t="s">
        <v>9</v>
      </c>
      <c r="M1" s="2" t="s">
        <v>10</v>
      </c>
      <c r="N1" s="34" t="s">
        <v>264</v>
      </c>
    </row>
    <row r="2" spans="1:17" x14ac:dyDescent="0.25">
      <c r="A2" t="s">
        <v>11</v>
      </c>
      <c r="B2" t="s">
        <v>106</v>
      </c>
      <c r="C2">
        <v>34</v>
      </c>
      <c r="D2" t="s">
        <v>108</v>
      </c>
      <c r="E2" t="s">
        <v>120</v>
      </c>
      <c r="F2">
        <v>5</v>
      </c>
      <c r="G2" s="1">
        <v>270</v>
      </c>
      <c r="H2" s="11">
        <v>45662</v>
      </c>
      <c r="I2" s="11" t="s">
        <v>226</v>
      </c>
      <c r="J2" t="s">
        <v>160</v>
      </c>
      <c r="K2" s="1" t="s">
        <v>190</v>
      </c>
      <c r="L2">
        <v>1350</v>
      </c>
      <c r="M2" t="s">
        <v>212</v>
      </c>
      <c r="N2">
        <f>(L2-(L2*24%))</f>
        <v>1026</v>
      </c>
    </row>
    <row r="3" spans="1:17" x14ac:dyDescent="0.25">
      <c r="A3" t="s">
        <v>12</v>
      </c>
      <c r="B3" t="s">
        <v>107</v>
      </c>
      <c r="C3">
        <v>39</v>
      </c>
      <c r="D3" t="s">
        <v>109</v>
      </c>
      <c r="E3" t="s">
        <v>121</v>
      </c>
      <c r="F3">
        <v>5</v>
      </c>
      <c r="G3" s="1">
        <v>165</v>
      </c>
      <c r="H3" s="11">
        <v>45663</v>
      </c>
      <c r="I3" s="11" t="s">
        <v>226</v>
      </c>
      <c r="J3" t="s">
        <v>161</v>
      </c>
      <c r="K3" s="1" t="s">
        <v>191</v>
      </c>
      <c r="L3">
        <v>825</v>
      </c>
      <c r="M3" t="s">
        <v>213</v>
      </c>
      <c r="N3">
        <f t="shared" ref="N3:N66" si="0">(L3-(L3*24%))</f>
        <v>627</v>
      </c>
    </row>
    <row r="4" spans="1:17" x14ac:dyDescent="0.25">
      <c r="A4" t="s">
        <v>13</v>
      </c>
      <c r="B4" t="s">
        <v>107</v>
      </c>
      <c r="C4">
        <v>26</v>
      </c>
      <c r="D4" t="s">
        <v>109</v>
      </c>
      <c r="E4" t="s">
        <v>122</v>
      </c>
      <c r="F4">
        <v>3</v>
      </c>
      <c r="G4" s="1">
        <v>200</v>
      </c>
      <c r="H4" s="11">
        <v>45664</v>
      </c>
      <c r="I4" s="11" t="s">
        <v>226</v>
      </c>
      <c r="J4" t="s">
        <v>162</v>
      </c>
      <c r="K4" s="1" t="s">
        <v>192</v>
      </c>
      <c r="L4">
        <v>600</v>
      </c>
      <c r="M4" t="s">
        <v>212</v>
      </c>
      <c r="N4">
        <f t="shared" si="0"/>
        <v>456</v>
      </c>
      <c r="P4" s="35"/>
      <c r="Q4" s="22"/>
    </row>
    <row r="5" spans="1:17" x14ac:dyDescent="0.25">
      <c r="A5" t="s">
        <v>14</v>
      </c>
      <c r="B5" t="s">
        <v>106</v>
      </c>
      <c r="C5">
        <v>23</v>
      </c>
      <c r="D5" t="s">
        <v>110</v>
      </c>
      <c r="E5" t="s">
        <v>123</v>
      </c>
      <c r="F5">
        <v>2</v>
      </c>
      <c r="G5" s="1">
        <v>280</v>
      </c>
      <c r="H5" s="11">
        <v>45698</v>
      </c>
      <c r="I5" s="11" t="s">
        <v>224</v>
      </c>
      <c r="J5" t="s">
        <v>163</v>
      </c>
      <c r="K5" s="1" t="s">
        <v>193</v>
      </c>
      <c r="L5">
        <v>560</v>
      </c>
      <c r="M5" t="s">
        <v>214</v>
      </c>
      <c r="N5">
        <f t="shared" si="0"/>
        <v>425.6</v>
      </c>
      <c r="Q5" s="22"/>
    </row>
    <row r="6" spans="1:17" x14ac:dyDescent="0.25">
      <c r="A6" t="s">
        <v>15</v>
      </c>
      <c r="B6" t="s">
        <v>107</v>
      </c>
      <c r="C6">
        <v>49</v>
      </c>
      <c r="D6" t="s">
        <v>111</v>
      </c>
      <c r="E6" t="s">
        <v>124</v>
      </c>
      <c r="F6">
        <v>1</v>
      </c>
      <c r="G6" s="1">
        <v>330</v>
      </c>
      <c r="H6" s="11">
        <v>45699</v>
      </c>
      <c r="I6" s="11" t="s">
        <v>224</v>
      </c>
      <c r="J6" t="s">
        <v>164</v>
      </c>
      <c r="K6" s="1" t="s">
        <v>194</v>
      </c>
      <c r="L6">
        <v>330</v>
      </c>
      <c r="M6" t="s">
        <v>215</v>
      </c>
      <c r="N6">
        <f t="shared" si="0"/>
        <v>250.8</v>
      </c>
    </row>
    <row r="7" spans="1:17" x14ac:dyDescent="0.25">
      <c r="A7" t="s">
        <v>16</v>
      </c>
      <c r="B7" t="s">
        <v>107</v>
      </c>
      <c r="C7">
        <v>45</v>
      </c>
      <c r="D7" t="s">
        <v>112</v>
      </c>
      <c r="E7" t="s">
        <v>125</v>
      </c>
      <c r="F7">
        <v>3</v>
      </c>
      <c r="G7" s="1">
        <v>185</v>
      </c>
      <c r="H7" s="11">
        <v>45700</v>
      </c>
      <c r="I7" s="11" t="s">
        <v>224</v>
      </c>
      <c r="J7" t="s">
        <v>165</v>
      </c>
      <c r="K7" s="1" t="s">
        <v>195</v>
      </c>
      <c r="L7">
        <v>555</v>
      </c>
      <c r="M7" t="s">
        <v>215</v>
      </c>
      <c r="N7">
        <f t="shared" si="0"/>
        <v>421.8</v>
      </c>
    </row>
    <row r="8" spans="1:17" x14ac:dyDescent="0.25">
      <c r="A8" t="s">
        <v>17</v>
      </c>
      <c r="B8" t="s">
        <v>107</v>
      </c>
      <c r="C8">
        <v>47</v>
      </c>
      <c r="D8" t="s">
        <v>113</v>
      </c>
      <c r="E8" t="s">
        <v>126</v>
      </c>
      <c r="F8">
        <v>2</v>
      </c>
      <c r="G8" s="1">
        <v>260</v>
      </c>
      <c r="H8" s="11">
        <v>45719</v>
      </c>
      <c r="I8" s="11" t="s">
        <v>225</v>
      </c>
      <c r="J8" t="s">
        <v>166</v>
      </c>
      <c r="K8" s="1" t="s">
        <v>196</v>
      </c>
      <c r="L8">
        <v>520</v>
      </c>
      <c r="M8" t="s">
        <v>215</v>
      </c>
      <c r="N8">
        <f t="shared" si="0"/>
        <v>395.2</v>
      </c>
    </row>
    <row r="9" spans="1:17" x14ac:dyDescent="0.25">
      <c r="A9" t="s">
        <v>18</v>
      </c>
      <c r="B9" t="s">
        <v>107</v>
      </c>
      <c r="C9">
        <v>40</v>
      </c>
      <c r="D9" t="s">
        <v>114</v>
      </c>
      <c r="E9" t="s">
        <v>127</v>
      </c>
      <c r="F9">
        <v>3</v>
      </c>
      <c r="G9" s="1">
        <v>310</v>
      </c>
      <c r="H9" s="11">
        <v>45720</v>
      </c>
      <c r="I9" s="11" t="s">
        <v>225</v>
      </c>
      <c r="J9" t="s">
        <v>167</v>
      </c>
      <c r="K9" s="1" t="s">
        <v>197</v>
      </c>
      <c r="L9">
        <v>930</v>
      </c>
      <c r="M9" t="s">
        <v>213</v>
      </c>
      <c r="N9">
        <f t="shared" si="0"/>
        <v>706.8</v>
      </c>
    </row>
    <row r="10" spans="1:17" x14ac:dyDescent="0.25">
      <c r="A10" t="s">
        <v>19</v>
      </c>
      <c r="B10" t="s">
        <v>106</v>
      </c>
      <c r="C10">
        <v>29</v>
      </c>
      <c r="D10" t="s">
        <v>108</v>
      </c>
      <c r="E10" t="s">
        <v>120</v>
      </c>
      <c r="F10">
        <v>2</v>
      </c>
      <c r="G10" s="1">
        <v>265</v>
      </c>
      <c r="H10" s="11">
        <v>45721</v>
      </c>
      <c r="I10" s="11" t="s">
        <v>225</v>
      </c>
      <c r="J10" t="s">
        <v>168</v>
      </c>
      <c r="K10" s="1" t="s">
        <v>190</v>
      </c>
      <c r="L10">
        <v>530</v>
      </c>
      <c r="M10" t="s">
        <v>212</v>
      </c>
      <c r="N10">
        <f t="shared" si="0"/>
        <v>402.8</v>
      </c>
    </row>
    <row r="11" spans="1:17" x14ac:dyDescent="0.25">
      <c r="A11" t="s">
        <v>20</v>
      </c>
      <c r="B11" t="s">
        <v>107</v>
      </c>
      <c r="C11">
        <v>19</v>
      </c>
      <c r="D11" t="s">
        <v>112</v>
      </c>
      <c r="E11" t="s">
        <v>128</v>
      </c>
      <c r="F11">
        <v>6</v>
      </c>
      <c r="G11" s="1">
        <v>245</v>
      </c>
      <c r="H11" s="11">
        <v>45722</v>
      </c>
      <c r="I11" s="11" t="s">
        <v>225</v>
      </c>
      <c r="J11" t="s">
        <v>169</v>
      </c>
      <c r="K11" s="1" t="s">
        <v>198</v>
      </c>
      <c r="L11">
        <v>1470</v>
      </c>
      <c r="M11" t="s">
        <v>214</v>
      </c>
      <c r="N11">
        <f t="shared" si="0"/>
        <v>1117.2</v>
      </c>
    </row>
    <row r="12" spans="1:17" x14ac:dyDescent="0.25">
      <c r="A12" t="s">
        <v>21</v>
      </c>
      <c r="B12" t="s">
        <v>106</v>
      </c>
      <c r="C12">
        <v>43</v>
      </c>
      <c r="D12" t="s">
        <v>109</v>
      </c>
      <c r="E12" t="s">
        <v>129</v>
      </c>
      <c r="F12">
        <v>3</v>
      </c>
      <c r="G12" s="1">
        <v>330</v>
      </c>
      <c r="H12" s="11">
        <v>45752</v>
      </c>
      <c r="I12" s="11" t="s">
        <v>247</v>
      </c>
      <c r="J12" t="s">
        <v>164</v>
      </c>
      <c r="K12" s="1" t="s">
        <v>194</v>
      </c>
      <c r="L12">
        <v>990</v>
      </c>
      <c r="M12" t="s">
        <v>213</v>
      </c>
      <c r="N12">
        <f t="shared" si="0"/>
        <v>752.4</v>
      </c>
    </row>
    <row r="13" spans="1:17" x14ac:dyDescent="0.25">
      <c r="A13" t="s">
        <v>22</v>
      </c>
      <c r="B13" t="s">
        <v>107</v>
      </c>
      <c r="C13">
        <v>19</v>
      </c>
      <c r="D13" t="s">
        <v>111</v>
      </c>
      <c r="E13" t="s">
        <v>124</v>
      </c>
      <c r="F13">
        <v>6</v>
      </c>
      <c r="G13" s="1">
        <v>290</v>
      </c>
      <c r="H13" s="11">
        <v>45753</v>
      </c>
      <c r="I13" s="11" t="s">
        <v>247</v>
      </c>
      <c r="J13" t="s">
        <v>170</v>
      </c>
      <c r="K13" s="1" t="s">
        <v>199</v>
      </c>
      <c r="L13">
        <v>1740</v>
      </c>
      <c r="M13" t="s">
        <v>214</v>
      </c>
      <c r="N13">
        <f t="shared" si="0"/>
        <v>1322.4</v>
      </c>
    </row>
    <row r="14" spans="1:17" x14ac:dyDescent="0.25">
      <c r="A14" t="s">
        <v>23</v>
      </c>
      <c r="B14" t="s">
        <v>106</v>
      </c>
      <c r="C14">
        <v>30</v>
      </c>
      <c r="D14" t="s">
        <v>115</v>
      </c>
      <c r="E14" t="s">
        <v>130</v>
      </c>
      <c r="F14">
        <v>5</v>
      </c>
      <c r="G14" s="1">
        <v>305</v>
      </c>
      <c r="H14" s="11">
        <v>45754</v>
      </c>
      <c r="I14" s="11" t="s">
        <v>247</v>
      </c>
      <c r="J14" t="s">
        <v>171</v>
      </c>
      <c r="K14" s="1" t="s">
        <v>200</v>
      </c>
      <c r="L14">
        <v>1525</v>
      </c>
      <c r="M14" t="s">
        <v>212</v>
      </c>
      <c r="N14">
        <f t="shared" si="0"/>
        <v>1159</v>
      </c>
    </row>
    <row r="15" spans="1:17" x14ac:dyDescent="0.25">
      <c r="A15" t="s">
        <v>24</v>
      </c>
      <c r="B15" t="s">
        <v>106</v>
      </c>
      <c r="C15">
        <v>29</v>
      </c>
      <c r="D15" t="s">
        <v>112</v>
      </c>
      <c r="E15" t="s">
        <v>131</v>
      </c>
      <c r="F15">
        <v>2</v>
      </c>
      <c r="G15" s="1">
        <v>170</v>
      </c>
      <c r="H15" s="11">
        <v>45755</v>
      </c>
      <c r="I15" s="11" t="s">
        <v>247</v>
      </c>
      <c r="J15" t="s">
        <v>172</v>
      </c>
      <c r="K15" s="1" t="s">
        <v>201</v>
      </c>
      <c r="L15">
        <v>340</v>
      </c>
      <c r="M15" t="s">
        <v>212</v>
      </c>
      <c r="N15">
        <f t="shared" si="0"/>
        <v>258.39999999999998</v>
      </c>
    </row>
    <row r="16" spans="1:17" x14ac:dyDescent="0.25">
      <c r="A16" t="s">
        <v>25</v>
      </c>
      <c r="B16" t="s">
        <v>106</v>
      </c>
      <c r="C16">
        <v>34</v>
      </c>
      <c r="D16" t="s">
        <v>115</v>
      </c>
      <c r="E16" t="s">
        <v>130</v>
      </c>
      <c r="F16">
        <v>6</v>
      </c>
      <c r="G16" s="1">
        <v>330</v>
      </c>
      <c r="H16" s="11">
        <v>45756</v>
      </c>
      <c r="I16" s="11" t="s">
        <v>247</v>
      </c>
      <c r="J16" t="s">
        <v>164</v>
      </c>
      <c r="K16" s="1" t="s">
        <v>194</v>
      </c>
      <c r="L16">
        <v>1980</v>
      </c>
      <c r="M16" t="s">
        <v>212</v>
      </c>
      <c r="N16">
        <f t="shared" si="0"/>
        <v>1504.8</v>
      </c>
    </row>
    <row r="17" spans="1:14" x14ac:dyDescent="0.25">
      <c r="A17" t="s">
        <v>26</v>
      </c>
      <c r="B17" t="s">
        <v>107</v>
      </c>
      <c r="C17">
        <v>16</v>
      </c>
      <c r="D17" t="s">
        <v>112</v>
      </c>
      <c r="E17" t="s">
        <v>131</v>
      </c>
      <c r="F17">
        <v>3</v>
      </c>
      <c r="G17" s="1">
        <v>165</v>
      </c>
      <c r="H17" s="11">
        <v>45757</v>
      </c>
      <c r="I17" s="11" t="s">
        <v>247</v>
      </c>
      <c r="J17" t="s">
        <v>161</v>
      </c>
      <c r="K17" s="1" t="s">
        <v>191</v>
      </c>
      <c r="L17">
        <v>495</v>
      </c>
      <c r="M17" t="s">
        <v>214</v>
      </c>
      <c r="N17">
        <f t="shared" si="0"/>
        <v>376.2</v>
      </c>
    </row>
    <row r="18" spans="1:14" x14ac:dyDescent="0.25">
      <c r="A18" t="s">
        <v>27</v>
      </c>
      <c r="B18" t="s">
        <v>106</v>
      </c>
      <c r="C18">
        <v>49</v>
      </c>
      <c r="D18" t="s">
        <v>113</v>
      </c>
      <c r="E18" t="s">
        <v>132</v>
      </c>
      <c r="F18">
        <v>3</v>
      </c>
      <c r="G18" s="1">
        <v>260</v>
      </c>
      <c r="H18" s="11">
        <v>45758</v>
      </c>
      <c r="I18" s="11" t="s">
        <v>247</v>
      </c>
      <c r="J18" t="s">
        <v>173</v>
      </c>
      <c r="K18" s="1" t="s">
        <v>202</v>
      </c>
      <c r="L18">
        <v>780</v>
      </c>
      <c r="M18" t="s">
        <v>215</v>
      </c>
      <c r="N18">
        <f t="shared" si="0"/>
        <v>592.79999999999995</v>
      </c>
    </row>
    <row r="19" spans="1:14" x14ac:dyDescent="0.25">
      <c r="A19" t="s">
        <v>28</v>
      </c>
      <c r="B19" t="s">
        <v>107</v>
      </c>
      <c r="C19">
        <v>47</v>
      </c>
      <c r="D19" t="s">
        <v>116</v>
      </c>
      <c r="E19" t="s">
        <v>133</v>
      </c>
      <c r="F19">
        <v>5</v>
      </c>
      <c r="G19" s="1">
        <v>320</v>
      </c>
      <c r="H19" s="11">
        <v>45780</v>
      </c>
      <c r="I19" s="11" t="s">
        <v>248</v>
      </c>
      <c r="J19" t="s">
        <v>174</v>
      </c>
      <c r="K19" s="1" t="s">
        <v>203</v>
      </c>
      <c r="L19">
        <v>1600</v>
      </c>
      <c r="M19" t="s">
        <v>215</v>
      </c>
      <c r="N19">
        <f t="shared" si="0"/>
        <v>1216</v>
      </c>
    </row>
    <row r="20" spans="1:14" x14ac:dyDescent="0.25">
      <c r="A20" t="s">
        <v>29</v>
      </c>
      <c r="B20" t="s">
        <v>106</v>
      </c>
      <c r="C20">
        <v>39</v>
      </c>
      <c r="D20" t="s">
        <v>114</v>
      </c>
      <c r="E20" t="s">
        <v>134</v>
      </c>
      <c r="F20">
        <v>2</v>
      </c>
      <c r="G20" s="1">
        <v>195</v>
      </c>
      <c r="H20" s="11">
        <v>45783</v>
      </c>
      <c r="I20" s="11" t="s">
        <v>248</v>
      </c>
      <c r="J20" t="s">
        <v>175</v>
      </c>
      <c r="K20" s="1" t="s">
        <v>204</v>
      </c>
      <c r="L20">
        <v>390</v>
      </c>
      <c r="M20" t="s">
        <v>213</v>
      </c>
      <c r="N20">
        <f t="shared" si="0"/>
        <v>296.39999999999998</v>
      </c>
    </row>
    <row r="21" spans="1:14" x14ac:dyDescent="0.25">
      <c r="A21" t="s">
        <v>30</v>
      </c>
      <c r="B21" t="s">
        <v>106</v>
      </c>
      <c r="C21">
        <v>27</v>
      </c>
      <c r="D21" t="s">
        <v>117</v>
      </c>
      <c r="E21" t="s">
        <v>135</v>
      </c>
      <c r="F21">
        <v>3</v>
      </c>
      <c r="G21" s="1">
        <v>195</v>
      </c>
      <c r="H21" s="11">
        <v>45787</v>
      </c>
      <c r="I21" s="11" t="s">
        <v>248</v>
      </c>
      <c r="J21" t="s">
        <v>175</v>
      </c>
      <c r="K21" s="1" t="s">
        <v>204</v>
      </c>
      <c r="L21">
        <v>585</v>
      </c>
      <c r="M21" t="s">
        <v>212</v>
      </c>
      <c r="N21">
        <f t="shared" si="0"/>
        <v>444.6</v>
      </c>
    </row>
    <row r="22" spans="1:14" x14ac:dyDescent="0.25">
      <c r="A22" t="s">
        <v>31</v>
      </c>
      <c r="B22" t="s">
        <v>107</v>
      </c>
      <c r="C22">
        <v>16</v>
      </c>
      <c r="D22" t="s">
        <v>113</v>
      </c>
      <c r="E22" t="s">
        <v>136</v>
      </c>
      <c r="F22">
        <v>2</v>
      </c>
      <c r="G22" s="1">
        <v>300</v>
      </c>
      <c r="H22" s="11">
        <v>45788</v>
      </c>
      <c r="I22" s="11" t="s">
        <v>248</v>
      </c>
      <c r="J22" t="s">
        <v>176</v>
      </c>
      <c r="K22" s="1" t="s">
        <v>200</v>
      </c>
      <c r="L22">
        <v>600</v>
      </c>
      <c r="M22" t="s">
        <v>214</v>
      </c>
      <c r="N22">
        <f t="shared" si="0"/>
        <v>456</v>
      </c>
    </row>
    <row r="23" spans="1:14" x14ac:dyDescent="0.25">
      <c r="A23" t="s">
        <v>32</v>
      </c>
      <c r="B23" t="s">
        <v>106</v>
      </c>
      <c r="C23">
        <v>56</v>
      </c>
      <c r="D23" t="s">
        <v>108</v>
      </c>
      <c r="E23" t="s">
        <v>120</v>
      </c>
      <c r="F23">
        <v>2</v>
      </c>
      <c r="G23" s="1">
        <v>340</v>
      </c>
      <c r="H23" s="11">
        <v>45789</v>
      </c>
      <c r="I23" s="11" t="s">
        <v>248</v>
      </c>
      <c r="J23" t="s">
        <v>177</v>
      </c>
      <c r="K23" s="1" t="s">
        <v>200</v>
      </c>
      <c r="L23">
        <v>680</v>
      </c>
      <c r="M23" t="s">
        <v>216</v>
      </c>
      <c r="N23">
        <f t="shared" si="0"/>
        <v>516.79999999999995</v>
      </c>
    </row>
    <row r="24" spans="1:14" x14ac:dyDescent="0.25">
      <c r="A24" t="s">
        <v>33</v>
      </c>
      <c r="B24" t="s">
        <v>106</v>
      </c>
      <c r="C24">
        <v>40</v>
      </c>
      <c r="D24" t="s">
        <v>111</v>
      </c>
      <c r="E24" t="s">
        <v>124</v>
      </c>
      <c r="F24">
        <v>5</v>
      </c>
      <c r="G24" s="1">
        <v>290</v>
      </c>
      <c r="H24" s="11">
        <v>45790</v>
      </c>
      <c r="I24" s="11" t="s">
        <v>248</v>
      </c>
      <c r="J24" t="s">
        <v>170</v>
      </c>
      <c r="K24" s="1" t="s">
        <v>199</v>
      </c>
      <c r="L24">
        <v>1450</v>
      </c>
      <c r="M24" t="s">
        <v>213</v>
      </c>
      <c r="N24">
        <f t="shared" si="0"/>
        <v>1102</v>
      </c>
    </row>
    <row r="25" spans="1:14" x14ac:dyDescent="0.25">
      <c r="A25" t="s">
        <v>34</v>
      </c>
      <c r="B25" t="s">
        <v>107</v>
      </c>
      <c r="C25">
        <v>44</v>
      </c>
      <c r="D25" t="s">
        <v>114</v>
      </c>
      <c r="E25" t="s">
        <v>134</v>
      </c>
      <c r="F25">
        <v>4</v>
      </c>
      <c r="G25" s="1">
        <v>170</v>
      </c>
      <c r="H25" s="11">
        <v>45791</v>
      </c>
      <c r="I25" s="11" t="s">
        <v>248</v>
      </c>
      <c r="J25" t="s">
        <v>172</v>
      </c>
      <c r="K25" s="1" t="s">
        <v>201</v>
      </c>
      <c r="L25">
        <v>680</v>
      </c>
      <c r="M25" t="s">
        <v>213</v>
      </c>
      <c r="N25">
        <f t="shared" si="0"/>
        <v>516.79999999999995</v>
      </c>
    </row>
    <row r="26" spans="1:14" x14ac:dyDescent="0.25">
      <c r="A26" t="s">
        <v>35</v>
      </c>
      <c r="B26" t="s">
        <v>107</v>
      </c>
      <c r="C26">
        <v>35</v>
      </c>
      <c r="D26" t="s">
        <v>111</v>
      </c>
      <c r="E26" t="s">
        <v>124</v>
      </c>
      <c r="F26">
        <v>2</v>
      </c>
      <c r="G26" s="1">
        <v>200</v>
      </c>
      <c r="H26" s="11">
        <v>45792</v>
      </c>
      <c r="I26" s="11" t="s">
        <v>248</v>
      </c>
      <c r="J26" t="s">
        <v>162</v>
      </c>
      <c r="K26" s="1" t="s">
        <v>192</v>
      </c>
      <c r="L26">
        <v>400</v>
      </c>
      <c r="M26" t="s">
        <v>213</v>
      </c>
      <c r="N26">
        <f t="shared" si="0"/>
        <v>304</v>
      </c>
    </row>
    <row r="27" spans="1:14" x14ac:dyDescent="0.25">
      <c r="A27" t="s">
        <v>36</v>
      </c>
      <c r="B27" t="s">
        <v>106</v>
      </c>
      <c r="C27">
        <v>42</v>
      </c>
      <c r="D27" t="s">
        <v>118</v>
      </c>
      <c r="E27" t="s">
        <v>137</v>
      </c>
      <c r="F27">
        <v>1</v>
      </c>
      <c r="G27" s="1">
        <v>270</v>
      </c>
      <c r="H27" s="11">
        <v>45793</v>
      </c>
      <c r="I27" s="11" t="s">
        <v>248</v>
      </c>
      <c r="J27" t="s">
        <v>160</v>
      </c>
      <c r="K27" s="1" t="s">
        <v>190</v>
      </c>
      <c r="L27">
        <v>270</v>
      </c>
      <c r="M27" t="s">
        <v>213</v>
      </c>
      <c r="N27">
        <f t="shared" si="0"/>
        <v>205.2</v>
      </c>
    </row>
    <row r="28" spans="1:14" x14ac:dyDescent="0.25">
      <c r="A28" t="s">
        <v>37</v>
      </c>
      <c r="B28" t="s">
        <v>106</v>
      </c>
      <c r="C28">
        <v>31</v>
      </c>
      <c r="D28" t="s">
        <v>117</v>
      </c>
      <c r="E28" t="s">
        <v>138</v>
      </c>
      <c r="F28">
        <v>5</v>
      </c>
      <c r="G28" s="1">
        <v>305</v>
      </c>
      <c r="H28" s="11">
        <v>45794</v>
      </c>
      <c r="I28" s="11" t="s">
        <v>248</v>
      </c>
      <c r="J28" t="s">
        <v>171</v>
      </c>
      <c r="K28" s="1" t="s">
        <v>200</v>
      </c>
      <c r="L28">
        <v>1525</v>
      </c>
      <c r="M28" t="s">
        <v>212</v>
      </c>
      <c r="N28">
        <f t="shared" si="0"/>
        <v>1159</v>
      </c>
    </row>
    <row r="29" spans="1:14" x14ac:dyDescent="0.25">
      <c r="A29" t="s">
        <v>38</v>
      </c>
      <c r="B29" t="s">
        <v>106</v>
      </c>
      <c r="C29">
        <v>45</v>
      </c>
      <c r="D29" t="s">
        <v>112</v>
      </c>
      <c r="E29" t="s">
        <v>139</v>
      </c>
      <c r="F29">
        <v>1</v>
      </c>
      <c r="G29" s="1">
        <v>260</v>
      </c>
      <c r="H29" s="11">
        <v>45795</v>
      </c>
      <c r="I29" s="11" t="s">
        <v>248</v>
      </c>
      <c r="J29" t="s">
        <v>173</v>
      </c>
      <c r="K29" s="1" t="s">
        <v>202</v>
      </c>
      <c r="L29">
        <v>260</v>
      </c>
      <c r="M29" t="s">
        <v>215</v>
      </c>
      <c r="N29">
        <f t="shared" si="0"/>
        <v>197.6</v>
      </c>
    </row>
    <row r="30" spans="1:14" x14ac:dyDescent="0.25">
      <c r="A30" t="s">
        <v>39</v>
      </c>
      <c r="B30" t="s">
        <v>107</v>
      </c>
      <c r="C30">
        <v>18</v>
      </c>
      <c r="D30" t="s">
        <v>114</v>
      </c>
      <c r="E30" t="s">
        <v>134</v>
      </c>
      <c r="F30">
        <v>1</v>
      </c>
      <c r="G30" s="1">
        <v>265</v>
      </c>
      <c r="H30" s="11">
        <v>45796</v>
      </c>
      <c r="I30" s="11" t="s">
        <v>248</v>
      </c>
      <c r="J30" t="s">
        <v>168</v>
      </c>
      <c r="K30" s="1" t="s">
        <v>190</v>
      </c>
      <c r="L30">
        <v>265</v>
      </c>
      <c r="M30" t="s">
        <v>214</v>
      </c>
      <c r="N30">
        <f t="shared" si="0"/>
        <v>201.4</v>
      </c>
    </row>
    <row r="31" spans="1:14" x14ac:dyDescent="0.25">
      <c r="A31" t="s">
        <v>40</v>
      </c>
      <c r="B31" t="s">
        <v>106</v>
      </c>
      <c r="C31">
        <v>37</v>
      </c>
      <c r="D31" t="s">
        <v>108</v>
      </c>
      <c r="E31" t="s">
        <v>140</v>
      </c>
      <c r="F31">
        <v>2</v>
      </c>
      <c r="G31" s="1">
        <v>290</v>
      </c>
      <c r="H31" s="11">
        <v>45815</v>
      </c>
      <c r="I31" s="11" t="s">
        <v>249</v>
      </c>
      <c r="J31" t="s">
        <v>170</v>
      </c>
      <c r="K31" s="1" t="s">
        <v>199</v>
      </c>
      <c r="L31">
        <v>580</v>
      </c>
      <c r="M31" t="s">
        <v>213</v>
      </c>
      <c r="N31">
        <f t="shared" si="0"/>
        <v>440.8</v>
      </c>
    </row>
    <row r="32" spans="1:14" x14ac:dyDescent="0.25">
      <c r="A32" t="s">
        <v>41</v>
      </c>
      <c r="B32" t="s">
        <v>107</v>
      </c>
      <c r="C32">
        <v>38</v>
      </c>
      <c r="D32" t="s">
        <v>108</v>
      </c>
      <c r="E32" t="s">
        <v>141</v>
      </c>
      <c r="F32">
        <v>5</v>
      </c>
      <c r="G32" s="1">
        <v>330</v>
      </c>
      <c r="H32" s="11">
        <v>45816</v>
      </c>
      <c r="I32" s="11" t="s">
        <v>249</v>
      </c>
      <c r="J32" t="s">
        <v>164</v>
      </c>
      <c r="K32" s="1" t="s">
        <v>194</v>
      </c>
      <c r="L32">
        <v>1650</v>
      </c>
      <c r="M32" t="s">
        <v>213</v>
      </c>
      <c r="N32">
        <f t="shared" si="0"/>
        <v>1254</v>
      </c>
    </row>
    <row r="33" spans="1:14" x14ac:dyDescent="0.25">
      <c r="A33" t="s">
        <v>42</v>
      </c>
      <c r="B33" t="s">
        <v>106</v>
      </c>
      <c r="C33">
        <v>44</v>
      </c>
      <c r="D33" t="s">
        <v>117</v>
      </c>
      <c r="E33" t="s">
        <v>135</v>
      </c>
      <c r="F33">
        <v>2</v>
      </c>
      <c r="G33" s="1">
        <v>270</v>
      </c>
      <c r="H33" s="11">
        <v>45817</v>
      </c>
      <c r="I33" s="11" t="s">
        <v>249</v>
      </c>
      <c r="J33" t="s">
        <v>160</v>
      </c>
      <c r="K33" s="1" t="s">
        <v>190</v>
      </c>
      <c r="L33">
        <v>540</v>
      </c>
      <c r="M33" t="s">
        <v>213</v>
      </c>
      <c r="N33">
        <f t="shared" si="0"/>
        <v>410.4</v>
      </c>
    </row>
    <row r="34" spans="1:14" x14ac:dyDescent="0.25">
      <c r="A34" t="s">
        <v>43</v>
      </c>
      <c r="B34" t="s">
        <v>106</v>
      </c>
      <c r="C34">
        <v>36</v>
      </c>
      <c r="D34" t="s">
        <v>118</v>
      </c>
      <c r="E34" t="s">
        <v>137</v>
      </c>
      <c r="F34">
        <v>1</v>
      </c>
      <c r="G34" s="1">
        <v>160</v>
      </c>
      <c r="H34" s="11">
        <v>45818</v>
      </c>
      <c r="I34" s="11" t="s">
        <v>249</v>
      </c>
      <c r="J34" t="s">
        <v>178</v>
      </c>
      <c r="K34" s="1" t="s">
        <v>205</v>
      </c>
      <c r="L34">
        <v>160</v>
      </c>
      <c r="M34" t="s">
        <v>213</v>
      </c>
      <c r="N34">
        <f t="shared" si="0"/>
        <v>121.6</v>
      </c>
    </row>
    <row r="35" spans="1:14" x14ac:dyDescent="0.25">
      <c r="A35" t="s">
        <v>44</v>
      </c>
      <c r="B35" t="s">
        <v>106</v>
      </c>
      <c r="C35">
        <v>43</v>
      </c>
      <c r="D35" t="s">
        <v>119</v>
      </c>
      <c r="E35" t="s">
        <v>142</v>
      </c>
      <c r="F35">
        <v>6</v>
      </c>
      <c r="G35" s="1">
        <v>155</v>
      </c>
      <c r="H35" s="11">
        <v>45819</v>
      </c>
      <c r="I35" s="11" t="s">
        <v>249</v>
      </c>
      <c r="J35" t="s">
        <v>179</v>
      </c>
      <c r="K35" s="1" t="s">
        <v>206</v>
      </c>
      <c r="L35">
        <v>930</v>
      </c>
      <c r="M35" t="s">
        <v>213</v>
      </c>
      <c r="N35">
        <f t="shared" si="0"/>
        <v>706.8</v>
      </c>
    </row>
    <row r="36" spans="1:14" x14ac:dyDescent="0.25">
      <c r="A36" t="s">
        <v>45</v>
      </c>
      <c r="B36" t="s">
        <v>107</v>
      </c>
      <c r="C36">
        <v>26</v>
      </c>
      <c r="D36" t="s">
        <v>111</v>
      </c>
      <c r="E36" t="s">
        <v>124</v>
      </c>
      <c r="F36">
        <v>3</v>
      </c>
      <c r="G36" s="1">
        <v>305</v>
      </c>
      <c r="H36" s="11">
        <v>45820</v>
      </c>
      <c r="I36" s="11" t="s">
        <v>249</v>
      </c>
      <c r="J36" t="s">
        <v>171</v>
      </c>
      <c r="K36" s="1" t="s">
        <v>200</v>
      </c>
      <c r="L36">
        <v>915</v>
      </c>
      <c r="M36" t="s">
        <v>212</v>
      </c>
      <c r="N36">
        <f t="shared" si="0"/>
        <v>695.4</v>
      </c>
    </row>
    <row r="37" spans="1:14" x14ac:dyDescent="0.25">
      <c r="A37" t="s">
        <v>46</v>
      </c>
      <c r="B37" t="s">
        <v>106</v>
      </c>
      <c r="C37">
        <v>59</v>
      </c>
      <c r="D37" t="s">
        <v>117</v>
      </c>
      <c r="E37" t="s">
        <v>138</v>
      </c>
      <c r="F37">
        <v>5</v>
      </c>
      <c r="G37" s="1">
        <v>300</v>
      </c>
      <c r="H37" s="11">
        <v>45821</v>
      </c>
      <c r="I37" s="11" t="s">
        <v>249</v>
      </c>
      <c r="J37" t="s">
        <v>176</v>
      </c>
      <c r="K37" s="1" t="s">
        <v>200</v>
      </c>
      <c r="L37">
        <v>1500</v>
      </c>
      <c r="M37" t="s">
        <v>216</v>
      </c>
      <c r="N37">
        <f t="shared" si="0"/>
        <v>1140</v>
      </c>
    </row>
    <row r="38" spans="1:14" x14ac:dyDescent="0.25">
      <c r="A38" t="s">
        <v>47</v>
      </c>
      <c r="B38" t="s">
        <v>107</v>
      </c>
      <c r="C38">
        <v>52</v>
      </c>
      <c r="D38" t="s">
        <v>112</v>
      </c>
      <c r="E38" t="s">
        <v>125</v>
      </c>
      <c r="F38">
        <v>5</v>
      </c>
      <c r="G38" s="1">
        <v>275</v>
      </c>
      <c r="H38" s="11">
        <v>45822</v>
      </c>
      <c r="I38" s="11" t="s">
        <v>249</v>
      </c>
      <c r="J38" t="s">
        <v>180</v>
      </c>
      <c r="K38" s="1" t="s">
        <v>193</v>
      </c>
      <c r="L38">
        <v>1375</v>
      </c>
      <c r="M38" t="s">
        <v>215</v>
      </c>
      <c r="N38">
        <f t="shared" si="0"/>
        <v>1045</v>
      </c>
    </row>
    <row r="39" spans="1:14" x14ac:dyDescent="0.25">
      <c r="A39" t="s">
        <v>48</v>
      </c>
      <c r="B39" t="s">
        <v>106</v>
      </c>
      <c r="C39">
        <v>42</v>
      </c>
      <c r="D39" t="s">
        <v>111</v>
      </c>
      <c r="E39" t="s">
        <v>124</v>
      </c>
      <c r="F39">
        <v>6</v>
      </c>
      <c r="G39" s="1">
        <v>155</v>
      </c>
      <c r="H39" s="11">
        <v>45823</v>
      </c>
      <c r="I39" s="11" t="s">
        <v>249</v>
      </c>
      <c r="J39" t="s">
        <v>179</v>
      </c>
      <c r="K39" s="1" t="s">
        <v>206</v>
      </c>
      <c r="L39">
        <v>930</v>
      </c>
      <c r="M39" t="s">
        <v>213</v>
      </c>
      <c r="N39">
        <f t="shared" si="0"/>
        <v>706.8</v>
      </c>
    </row>
    <row r="40" spans="1:14" x14ac:dyDescent="0.25">
      <c r="A40" t="s">
        <v>49</v>
      </c>
      <c r="B40" t="s">
        <v>106</v>
      </c>
      <c r="C40">
        <v>38</v>
      </c>
      <c r="D40" t="s">
        <v>109</v>
      </c>
      <c r="E40" t="s">
        <v>143</v>
      </c>
      <c r="F40">
        <v>2</v>
      </c>
      <c r="G40" s="1">
        <v>160</v>
      </c>
      <c r="H40" s="11">
        <v>45824</v>
      </c>
      <c r="I40" s="11" t="s">
        <v>249</v>
      </c>
      <c r="J40" t="s">
        <v>178</v>
      </c>
      <c r="K40" s="1" t="s">
        <v>205</v>
      </c>
      <c r="L40">
        <v>320</v>
      </c>
      <c r="M40" t="s">
        <v>213</v>
      </c>
      <c r="N40">
        <f t="shared" si="0"/>
        <v>243.2</v>
      </c>
    </row>
    <row r="41" spans="1:14" x14ac:dyDescent="0.25">
      <c r="A41" t="s">
        <v>50</v>
      </c>
      <c r="B41" t="s">
        <v>107</v>
      </c>
      <c r="C41">
        <v>49</v>
      </c>
      <c r="D41" t="s">
        <v>108</v>
      </c>
      <c r="E41" t="s">
        <v>144</v>
      </c>
      <c r="F41">
        <v>5</v>
      </c>
      <c r="G41" s="1">
        <v>190</v>
      </c>
      <c r="H41" s="11">
        <v>45825</v>
      </c>
      <c r="I41" s="11" t="s">
        <v>249</v>
      </c>
      <c r="J41" t="s">
        <v>181</v>
      </c>
      <c r="K41" s="1" t="s">
        <v>207</v>
      </c>
      <c r="L41">
        <v>950</v>
      </c>
      <c r="M41" t="s">
        <v>215</v>
      </c>
      <c r="N41">
        <f t="shared" si="0"/>
        <v>722</v>
      </c>
    </row>
    <row r="42" spans="1:14" x14ac:dyDescent="0.25">
      <c r="A42" t="s">
        <v>51</v>
      </c>
      <c r="B42" t="s">
        <v>106</v>
      </c>
      <c r="C42">
        <v>28</v>
      </c>
      <c r="D42" t="s">
        <v>110</v>
      </c>
      <c r="E42" t="s">
        <v>145</v>
      </c>
      <c r="F42">
        <v>2</v>
      </c>
      <c r="G42" s="1">
        <v>275</v>
      </c>
      <c r="H42" s="11">
        <v>45826</v>
      </c>
      <c r="I42" s="11" t="s">
        <v>249</v>
      </c>
      <c r="J42" t="s">
        <v>180</v>
      </c>
      <c r="K42" s="1" t="s">
        <v>193</v>
      </c>
      <c r="L42">
        <v>550</v>
      </c>
      <c r="M42" t="s">
        <v>212</v>
      </c>
      <c r="N42">
        <f t="shared" si="0"/>
        <v>418</v>
      </c>
    </row>
    <row r="43" spans="1:14" x14ac:dyDescent="0.25">
      <c r="A43" t="s">
        <v>52</v>
      </c>
      <c r="B43" t="s">
        <v>107</v>
      </c>
      <c r="C43">
        <v>33</v>
      </c>
      <c r="D43" t="s">
        <v>117</v>
      </c>
      <c r="E43" t="s">
        <v>146</v>
      </c>
      <c r="F43">
        <v>6</v>
      </c>
      <c r="G43" s="1">
        <v>195</v>
      </c>
      <c r="H43" s="11">
        <v>45827</v>
      </c>
      <c r="I43" s="11" t="s">
        <v>249</v>
      </c>
      <c r="J43" t="s">
        <v>175</v>
      </c>
      <c r="K43" s="1" t="s">
        <v>204</v>
      </c>
      <c r="L43">
        <v>1170</v>
      </c>
      <c r="M43" t="s">
        <v>212</v>
      </c>
      <c r="N43">
        <f t="shared" si="0"/>
        <v>889.2</v>
      </c>
    </row>
    <row r="44" spans="1:14" x14ac:dyDescent="0.25">
      <c r="A44" t="s">
        <v>53</v>
      </c>
      <c r="B44" t="s">
        <v>106</v>
      </c>
      <c r="C44">
        <v>16</v>
      </c>
      <c r="D44" t="s">
        <v>108</v>
      </c>
      <c r="E44" t="s">
        <v>140</v>
      </c>
      <c r="F44">
        <v>1</v>
      </c>
      <c r="G44" s="1">
        <v>320</v>
      </c>
      <c r="H44" s="11">
        <v>45843</v>
      </c>
      <c r="I44" s="11" t="s">
        <v>250</v>
      </c>
      <c r="J44" t="s">
        <v>174</v>
      </c>
      <c r="K44" s="1" t="s">
        <v>203</v>
      </c>
      <c r="L44">
        <v>320</v>
      </c>
      <c r="M44" t="s">
        <v>214</v>
      </c>
      <c r="N44">
        <f t="shared" si="0"/>
        <v>243.2</v>
      </c>
    </row>
    <row r="45" spans="1:14" x14ac:dyDescent="0.25">
      <c r="A45" t="s">
        <v>54</v>
      </c>
      <c r="B45" t="s">
        <v>107</v>
      </c>
      <c r="C45">
        <v>26</v>
      </c>
      <c r="D45" t="s">
        <v>113</v>
      </c>
      <c r="E45" t="s">
        <v>147</v>
      </c>
      <c r="F45">
        <v>6</v>
      </c>
      <c r="G45" s="1">
        <v>290</v>
      </c>
      <c r="H45" s="11">
        <v>45850</v>
      </c>
      <c r="I45" s="11" t="s">
        <v>250</v>
      </c>
      <c r="J45" t="s">
        <v>170</v>
      </c>
      <c r="K45" s="1" t="s">
        <v>199</v>
      </c>
      <c r="L45">
        <v>1740</v>
      </c>
      <c r="M45" t="s">
        <v>212</v>
      </c>
      <c r="N45">
        <f t="shared" si="0"/>
        <v>1322.4</v>
      </c>
    </row>
    <row r="46" spans="1:14" x14ac:dyDescent="0.25">
      <c r="A46" t="s">
        <v>55</v>
      </c>
      <c r="B46" t="s">
        <v>106</v>
      </c>
      <c r="C46">
        <v>41</v>
      </c>
      <c r="D46" t="s">
        <v>113</v>
      </c>
      <c r="E46" t="s">
        <v>126</v>
      </c>
      <c r="F46">
        <v>6</v>
      </c>
      <c r="G46" s="1">
        <v>270</v>
      </c>
      <c r="H46" s="11">
        <v>45858</v>
      </c>
      <c r="I46" s="11" t="s">
        <v>250</v>
      </c>
      <c r="J46" t="s">
        <v>160</v>
      </c>
      <c r="K46" s="1" t="s">
        <v>190</v>
      </c>
      <c r="L46">
        <v>1620</v>
      </c>
      <c r="M46" t="s">
        <v>213</v>
      </c>
      <c r="N46">
        <f t="shared" si="0"/>
        <v>1231.2</v>
      </c>
    </row>
    <row r="47" spans="1:14" x14ac:dyDescent="0.25">
      <c r="A47" t="s">
        <v>56</v>
      </c>
      <c r="B47" t="s">
        <v>107</v>
      </c>
      <c r="C47">
        <v>24</v>
      </c>
      <c r="D47" t="s">
        <v>110</v>
      </c>
      <c r="E47" t="s">
        <v>148</v>
      </c>
      <c r="F47">
        <v>3</v>
      </c>
      <c r="G47" s="1">
        <v>265</v>
      </c>
      <c r="H47" s="11">
        <v>45865</v>
      </c>
      <c r="I47" s="11" t="s">
        <v>250</v>
      </c>
      <c r="J47" t="s">
        <v>168</v>
      </c>
      <c r="K47" s="1" t="s">
        <v>190</v>
      </c>
      <c r="L47">
        <v>795</v>
      </c>
      <c r="M47" t="s">
        <v>214</v>
      </c>
      <c r="N47">
        <f t="shared" si="0"/>
        <v>604.20000000000005</v>
      </c>
    </row>
    <row r="48" spans="1:14" x14ac:dyDescent="0.25">
      <c r="A48" t="s">
        <v>57</v>
      </c>
      <c r="B48" t="s">
        <v>106</v>
      </c>
      <c r="C48">
        <v>32</v>
      </c>
      <c r="D48" t="s">
        <v>108</v>
      </c>
      <c r="E48" t="s">
        <v>140</v>
      </c>
      <c r="F48">
        <v>1</v>
      </c>
      <c r="G48" s="1">
        <v>185</v>
      </c>
      <c r="H48" s="11">
        <v>45873</v>
      </c>
      <c r="I48" s="11" t="s">
        <v>251</v>
      </c>
      <c r="J48" t="s">
        <v>165</v>
      </c>
      <c r="K48" s="1" t="s">
        <v>195</v>
      </c>
      <c r="L48">
        <v>185</v>
      </c>
      <c r="M48" t="s">
        <v>212</v>
      </c>
      <c r="N48">
        <f t="shared" si="0"/>
        <v>140.6</v>
      </c>
    </row>
    <row r="49" spans="1:14" x14ac:dyDescent="0.25">
      <c r="A49" t="s">
        <v>17</v>
      </c>
      <c r="B49" t="s">
        <v>106</v>
      </c>
      <c r="C49">
        <v>34</v>
      </c>
      <c r="D49" t="s">
        <v>112</v>
      </c>
      <c r="E49" t="s">
        <v>139</v>
      </c>
      <c r="F49">
        <v>3</v>
      </c>
      <c r="G49" s="1">
        <v>300</v>
      </c>
      <c r="H49" s="11">
        <v>45880</v>
      </c>
      <c r="I49" s="11" t="s">
        <v>251</v>
      </c>
      <c r="J49" t="s">
        <v>176</v>
      </c>
      <c r="K49" s="1" t="s">
        <v>200</v>
      </c>
      <c r="L49">
        <v>900</v>
      </c>
      <c r="M49" t="s">
        <v>212</v>
      </c>
      <c r="N49">
        <f t="shared" si="0"/>
        <v>684</v>
      </c>
    </row>
    <row r="50" spans="1:14" x14ac:dyDescent="0.25">
      <c r="A50" t="s">
        <v>58</v>
      </c>
      <c r="B50" t="s">
        <v>106</v>
      </c>
      <c r="C50">
        <v>35</v>
      </c>
      <c r="D50" t="s">
        <v>108</v>
      </c>
      <c r="E50" t="s">
        <v>149</v>
      </c>
      <c r="F50">
        <v>5</v>
      </c>
      <c r="G50" s="1">
        <v>340</v>
      </c>
      <c r="H50" s="11">
        <v>45888</v>
      </c>
      <c r="I50" s="11" t="s">
        <v>251</v>
      </c>
      <c r="J50" t="s">
        <v>177</v>
      </c>
      <c r="K50" s="1" t="s">
        <v>200</v>
      </c>
      <c r="L50">
        <v>1700</v>
      </c>
      <c r="M50" t="s">
        <v>213</v>
      </c>
      <c r="N50">
        <f t="shared" si="0"/>
        <v>1292</v>
      </c>
    </row>
    <row r="51" spans="1:14" x14ac:dyDescent="0.25">
      <c r="A51" t="s">
        <v>59</v>
      </c>
      <c r="B51" t="s">
        <v>106</v>
      </c>
      <c r="C51">
        <v>41</v>
      </c>
      <c r="D51" t="s">
        <v>109</v>
      </c>
      <c r="E51" t="s">
        <v>121</v>
      </c>
      <c r="F51">
        <v>2</v>
      </c>
      <c r="G51" s="1">
        <v>330</v>
      </c>
      <c r="H51" s="11">
        <v>45895</v>
      </c>
      <c r="I51" s="11" t="s">
        <v>251</v>
      </c>
      <c r="J51" t="s">
        <v>164</v>
      </c>
      <c r="K51" s="1" t="s">
        <v>194</v>
      </c>
      <c r="L51">
        <v>660</v>
      </c>
      <c r="M51" t="s">
        <v>213</v>
      </c>
      <c r="N51">
        <f t="shared" si="0"/>
        <v>501.6</v>
      </c>
    </row>
    <row r="52" spans="1:14" x14ac:dyDescent="0.25">
      <c r="A52" t="s">
        <v>60</v>
      </c>
      <c r="B52" t="s">
        <v>107</v>
      </c>
      <c r="C52">
        <v>49</v>
      </c>
      <c r="D52" t="s">
        <v>112</v>
      </c>
      <c r="E52" t="s">
        <v>139</v>
      </c>
      <c r="F52">
        <v>2</v>
      </c>
      <c r="G52" s="1">
        <v>320</v>
      </c>
      <c r="H52" s="11">
        <v>45903</v>
      </c>
      <c r="I52" s="11" t="s">
        <v>252</v>
      </c>
      <c r="J52" t="s">
        <v>174</v>
      </c>
      <c r="K52" s="1" t="s">
        <v>203</v>
      </c>
      <c r="L52">
        <v>640</v>
      </c>
      <c r="M52" t="s">
        <v>215</v>
      </c>
      <c r="N52">
        <f t="shared" si="0"/>
        <v>486.4</v>
      </c>
    </row>
    <row r="53" spans="1:14" x14ac:dyDescent="0.25">
      <c r="A53" t="s">
        <v>18</v>
      </c>
      <c r="B53" t="s">
        <v>106</v>
      </c>
      <c r="C53">
        <v>26</v>
      </c>
      <c r="D53" t="s">
        <v>119</v>
      </c>
      <c r="E53" t="s">
        <v>150</v>
      </c>
      <c r="F53">
        <v>4</v>
      </c>
      <c r="G53" s="1">
        <v>290</v>
      </c>
      <c r="H53" s="11">
        <v>45910</v>
      </c>
      <c r="I53" s="11" t="s">
        <v>252</v>
      </c>
      <c r="J53" t="s">
        <v>170</v>
      </c>
      <c r="K53" s="1" t="s">
        <v>199</v>
      </c>
      <c r="L53">
        <v>1160</v>
      </c>
      <c r="M53" t="s">
        <v>212</v>
      </c>
      <c r="N53">
        <f t="shared" si="0"/>
        <v>881.6</v>
      </c>
    </row>
    <row r="54" spans="1:14" x14ac:dyDescent="0.25">
      <c r="A54" t="s">
        <v>61</v>
      </c>
      <c r="B54" t="s">
        <v>106</v>
      </c>
      <c r="C54">
        <v>38</v>
      </c>
      <c r="D54" t="s">
        <v>114</v>
      </c>
      <c r="E54" t="s">
        <v>151</v>
      </c>
      <c r="F54">
        <v>3</v>
      </c>
      <c r="G54" s="1">
        <v>160</v>
      </c>
      <c r="H54" s="11">
        <v>45918</v>
      </c>
      <c r="I54" s="11" t="s">
        <v>252</v>
      </c>
      <c r="J54" t="s">
        <v>178</v>
      </c>
      <c r="K54" s="1" t="s">
        <v>205</v>
      </c>
      <c r="L54">
        <v>480</v>
      </c>
      <c r="M54" t="s">
        <v>213</v>
      </c>
      <c r="N54">
        <f t="shared" si="0"/>
        <v>364.8</v>
      </c>
    </row>
    <row r="55" spans="1:14" x14ac:dyDescent="0.25">
      <c r="A55" t="s">
        <v>62</v>
      </c>
      <c r="B55" t="s">
        <v>106</v>
      </c>
      <c r="C55">
        <v>28</v>
      </c>
      <c r="D55" t="s">
        <v>113</v>
      </c>
      <c r="E55" t="s">
        <v>132</v>
      </c>
      <c r="F55">
        <v>5</v>
      </c>
      <c r="G55" s="1">
        <v>265</v>
      </c>
      <c r="H55" s="11">
        <v>45925</v>
      </c>
      <c r="I55" s="11" t="s">
        <v>252</v>
      </c>
      <c r="J55" t="s">
        <v>168</v>
      </c>
      <c r="K55" s="1" t="s">
        <v>190</v>
      </c>
      <c r="L55">
        <v>1325</v>
      </c>
      <c r="M55" t="s">
        <v>212</v>
      </c>
      <c r="N55">
        <f t="shared" si="0"/>
        <v>1007</v>
      </c>
    </row>
    <row r="56" spans="1:14" x14ac:dyDescent="0.25">
      <c r="A56" t="s">
        <v>63</v>
      </c>
      <c r="B56" t="s">
        <v>107</v>
      </c>
      <c r="C56">
        <v>54</v>
      </c>
      <c r="D56" t="s">
        <v>113</v>
      </c>
      <c r="E56" t="s">
        <v>136</v>
      </c>
      <c r="F56">
        <v>3</v>
      </c>
      <c r="G56" s="1">
        <v>200</v>
      </c>
      <c r="H56" s="11">
        <v>45933</v>
      </c>
      <c r="I56" s="11" t="s">
        <v>252</v>
      </c>
      <c r="J56" t="s">
        <v>162</v>
      </c>
      <c r="K56" s="1" t="s">
        <v>192</v>
      </c>
      <c r="L56">
        <v>600</v>
      </c>
      <c r="M56" t="s">
        <v>215</v>
      </c>
      <c r="N56">
        <f t="shared" si="0"/>
        <v>456</v>
      </c>
    </row>
    <row r="57" spans="1:14" x14ac:dyDescent="0.25">
      <c r="A57" t="s">
        <v>64</v>
      </c>
      <c r="B57" t="s">
        <v>106</v>
      </c>
      <c r="C57">
        <v>37</v>
      </c>
      <c r="D57" t="s">
        <v>110</v>
      </c>
      <c r="E57" t="s">
        <v>123</v>
      </c>
      <c r="F57">
        <v>5</v>
      </c>
      <c r="G57" s="1">
        <v>155</v>
      </c>
      <c r="H57" s="11">
        <v>45940</v>
      </c>
      <c r="I57" s="11" t="s">
        <v>252</v>
      </c>
      <c r="J57" t="s">
        <v>179</v>
      </c>
      <c r="K57" s="1" t="s">
        <v>206</v>
      </c>
      <c r="L57">
        <v>775</v>
      </c>
      <c r="M57" t="s">
        <v>213</v>
      </c>
      <c r="N57">
        <f t="shared" si="0"/>
        <v>589</v>
      </c>
    </row>
    <row r="58" spans="1:14" x14ac:dyDescent="0.25">
      <c r="A58" t="s">
        <v>65</v>
      </c>
      <c r="B58" t="s">
        <v>107</v>
      </c>
      <c r="C58">
        <v>27</v>
      </c>
      <c r="D58" t="s">
        <v>116</v>
      </c>
      <c r="E58" t="s">
        <v>152</v>
      </c>
      <c r="F58">
        <v>5</v>
      </c>
      <c r="G58" s="1">
        <v>250</v>
      </c>
      <c r="H58" s="11">
        <v>45948</v>
      </c>
      <c r="I58" s="11" t="s">
        <v>252</v>
      </c>
      <c r="J58" t="s">
        <v>182</v>
      </c>
      <c r="K58" s="1" t="s">
        <v>198</v>
      </c>
      <c r="L58">
        <v>1250</v>
      </c>
      <c r="M58" t="s">
        <v>212</v>
      </c>
      <c r="N58">
        <f t="shared" si="0"/>
        <v>950</v>
      </c>
    </row>
    <row r="59" spans="1:14" x14ac:dyDescent="0.25">
      <c r="A59" t="s">
        <v>66</v>
      </c>
      <c r="B59" t="s">
        <v>107</v>
      </c>
      <c r="C59">
        <v>30</v>
      </c>
      <c r="D59" t="s">
        <v>108</v>
      </c>
      <c r="E59" t="s">
        <v>149</v>
      </c>
      <c r="F59">
        <v>3</v>
      </c>
      <c r="G59" s="1">
        <v>195</v>
      </c>
      <c r="H59" s="11">
        <v>45693</v>
      </c>
      <c r="I59" s="11" t="s">
        <v>226</v>
      </c>
      <c r="J59" t="s">
        <v>175</v>
      </c>
      <c r="K59" s="1" t="s">
        <v>204</v>
      </c>
      <c r="L59">
        <v>585</v>
      </c>
      <c r="M59" t="s">
        <v>212</v>
      </c>
      <c r="N59">
        <f t="shared" si="0"/>
        <v>444.6</v>
      </c>
    </row>
    <row r="60" spans="1:14" x14ac:dyDescent="0.25">
      <c r="A60" t="s">
        <v>67</v>
      </c>
      <c r="B60" t="s">
        <v>106</v>
      </c>
      <c r="C60">
        <v>29</v>
      </c>
      <c r="D60" t="s">
        <v>116</v>
      </c>
      <c r="E60" t="s">
        <v>152</v>
      </c>
      <c r="F60">
        <v>2</v>
      </c>
      <c r="G60" s="1">
        <v>185</v>
      </c>
      <c r="H60" s="11">
        <v>45663</v>
      </c>
      <c r="I60" s="11" t="s">
        <v>226</v>
      </c>
      <c r="J60" t="s">
        <v>165</v>
      </c>
      <c r="K60" s="1" t="s">
        <v>195</v>
      </c>
      <c r="L60">
        <v>370</v>
      </c>
      <c r="M60" t="s">
        <v>212</v>
      </c>
      <c r="N60">
        <f t="shared" si="0"/>
        <v>281.2</v>
      </c>
    </row>
    <row r="61" spans="1:14" x14ac:dyDescent="0.25">
      <c r="A61" t="s">
        <v>68</v>
      </c>
      <c r="B61" t="s">
        <v>106</v>
      </c>
      <c r="C61">
        <v>26</v>
      </c>
      <c r="D61" t="s">
        <v>112</v>
      </c>
      <c r="E61" t="s">
        <v>139</v>
      </c>
      <c r="F61">
        <v>5</v>
      </c>
      <c r="G61" s="1">
        <v>195</v>
      </c>
      <c r="H61" s="11">
        <v>45664</v>
      </c>
      <c r="I61" s="11" t="s">
        <v>226</v>
      </c>
      <c r="J61" t="s">
        <v>175</v>
      </c>
      <c r="K61" s="1" t="s">
        <v>204</v>
      </c>
      <c r="L61">
        <v>975</v>
      </c>
      <c r="M61" t="s">
        <v>212</v>
      </c>
      <c r="N61">
        <f t="shared" si="0"/>
        <v>741</v>
      </c>
    </row>
    <row r="62" spans="1:14" x14ac:dyDescent="0.25">
      <c r="A62" t="s">
        <v>69</v>
      </c>
      <c r="B62" t="s">
        <v>106</v>
      </c>
      <c r="C62">
        <v>42</v>
      </c>
      <c r="D62" t="s">
        <v>112</v>
      </c>
      <c r="E62" t="s">
        <v>128</v>
      </c>
      <c r="F62">
        <v>4</v>
      </c>
      <c r="G62" s="1">
        <v>190</v>
      </c>
      <c r="H62" s="11">
        <v>45665</v>
      </c>
      <c r="I62" s="11" t="s">
        <v>226</v>
      </c>
      <c r="J62" t="s">
        <v>181</v>
      </c>
      <c r="K62" s="1" t="s">
        <v>207</v>
      </c>
      <c r="L62">
        <v>760</v>
      </c>
      <c r="M62" t="s">
        <v>213</v>
      </c>
      <c r="N62">
        <f t="shared" si="0"/>
        <v>577.6</v>
      </c>
    </row>
    <row r="63" spans="1:14" x14ac:dyDescent="0.25">
      <c r="A63" t="s">
        <v>70</v>
      </c>
      <c r="B63" t="s">
        <v>106</v>
      </c>
      <c r="C63">
        <v>34</v>
      </c>
      <c r="D63" t="s">
        <v>116</v>
      </c>
      <c r="E63" t="s">
        <v>153</v>
      </c>
      <c r="F63">
        <v>1</v>
      </c>
      <c r="G63" s="1">
        <v>260</v>
      </c>
      <c r="H63" s="11">
        <v>45666</v>
      </c>
      <c r="I63" s="11" t="s">
        <v>226</v>
      </c>
      <c r="J63" t="s">
        <v>183</v>
      </c>
      <c r="K63" s="1" t="s">
        <v>190</v>
      </c>
      <c r="L63">
        <v>260</v>
      </c>
      <c r="M63" t="s">
        <v>212</v>
      </c>
      <c r="N63">
        <f t="shared" si="0"/>
        <v>197.6</v>
      </c>
    </row>
    <row r="64" spans="1:14" x14ac:dyDescent="0.25">
      <c r="A64" t="s">
        <v>71</v>
      </c>
      <c r="B64" t="s">
        <v>106</v>
      </c>
      <c r="C64">
        <v>30</v>
      </c>
      <c r="D64" t="s">
        <v>109</v>
      </c>
      <c r="E64" t="s">
        <v>143</v>
      </c>
      <c r="F64">
        <v>2</v>
      </c>
      <c r="G64" s="1">
        <v>275</v>
      </c>
      <c r="H64" s="11">
        <v>45667</v>
      </c>
      <c r="I64" s="11" t="s">
        <v>226</v>
      </c>
      <c r="J64" t="s">
        <v>184</v>
      </c>
      <c r="K64" s="1" t="s">
        <v>208</v>
      </c>
      <c r="L64">
        <v>550</v>
      </c>
      <c r="M64" t="s">
        <v>212</v>
      </c>
      <c r="N64">
        <f t="shared" si="0"/>
        <v>418</v>
      </c>
    </row>
    <row r="65" spans="1:14" x14ac:dyDescent="0.25">
      <c r="A65" t="s">
        <v>72</v>
      </c>
      <c r="B65" t="s">
        <v>107</v>
      </c>
      <c r="C65">
        <v>30</v>
      </c>
      <c r="D65" t="s">
        <v>119</v>
      </c>
      <c r="E65" t="s">
        <v>154</v>
      </c>
      <c r="F65">
        <v>4</v>
      </c>
      <c r="G65" s="1">
        <v>190</v>
      </c>
      <c r="H65" s="11">
        <v>45668</v>
      </c>
      <c r="I65" s="11" t="s">
        <v>226</v>
      </c>
      <c r="J65" t="s">
        <v>181</v>
      </c>
      <c r="K65" s="1" t="s">
        <v>207</v>
      </c>
      <c r="L65">
        <v>760</v>
      </c>
      <c r="M65" t="s">
        <v>212</v>
      </c>
      <c r="N65">
        <f t="shared" si="0"/>
        <v>577.6</v>
      </c>
    </row>
    <row r="66" spans="1:14" x14ac:dyDescent="0.25">
      <c r="A66" t="s">
        <v>73</v>
      </c>
      <c r="B66" t="s">
        <v>106</v>
      </c>
      <c r="C66">
        <v>34</v>
      </c>
      <c r="D66" t="s">
        <v>118</v>
      </c>
      <c r="E66" t="s">
        <v>155</v>
      </c>
      <c r="F66">
        <v>4</v>
      </c>
      <c r="G66" s="1">
        <v>340</v>
      </c>
      <c r="H66" s="11">
        <v>45669</v>
      </c>
      <c r="I66" s="11" t="s">
        <v>226</v>
      </c>
      <c r="J66" t="s">
        <v>177</v>
      </c>
      <c r="K66" s="1" t="s">
        <v>200</v>
      </c>
      <c r="L66">
        <v>1360</v>
      </c>
      <c r="M66" t="s">
        <v>212</v>
      </c>
      <c r="N66">
        <f t="shared" si="0"/>
        <v>1033.5999999999999</v>
      </c>
    </row>
    <row r="67" spans="1:14" x14ac:dyDescent="0.25">
      <c r="A67" t="s">
        <v>74</v>
      </c>
      <c r="B67" t="s">
        <v>106</v>
      </c>
      <c r="C67">
        <v>48</v>
      </c>
      <c r="D67" t="s">
        <v>116</v>
      </c>
      <c r="E67" t="s">
        <v>133</v>
      </c>
      <c r="F67">
        <v>1</v>
      </c>
      <c r="G67" s="1">
        <v>190</v>
      </c>
      <c r="H67" s="11">
        <v>45670</v>
      </c>
      <c r="I67" s="11" t="s">
        <v>226</v>
      </c>
      <c r="J67" t="s">
        <v>181</v>
      </c>
      <c r="K67" s="1" t="s">
        <v>207</v>
      </c>
      <c r="L67">
        <v>190</v>
      </c>
      <c r="M67" t="s">
        <v>215</v>
      </c>
      <c r="N67">
        <f t="shared" ref="N67:N101" si="1">(L67-(L67*24%))</f>
        <v>144.4</v>
      </c>
    </row>
    <row r="68" spans="1:14" x14ac:dyDescent="0.25">
      <c r="A68" t="s">
        <v>21</v>
      </c>
      <c r="B68" t="s">
        <v>106</v>
      </c>
      <c r="C68">
        <v>37</v>
      </c>
      <c r="D68" t="s">
        <v>119</v>
      </c>
      <c r="E68" t="s">
        <v>142</v>
      </c>
      <c r="F68">
        <v>4</v>
      </c>
      <c r="G68" s="1">
        <v>340</v>
      </c>
      <c r="H68" s="11">
        <v>45671</v>
      </c>
      <c r="I68" s="11" t="s">
        <v>226</v>
      </c>
      <c r="J68" t="s">
        <v>177</v>
      </c>
      <c r="K68" s="1" t="s">
        <v>200</v>
      </c>
      <c r="L68">
        <v>1360</v>
      </c>
      <c r="M68" t="s">
        <v>213</v>
      </c>
      <c r="N68">
        <f t="shared" si="1"/>
        <v>1033.5999999999999</v>
      </c>
    </row>
    <row r="69" spans="1:14" x14ac:dyDescent="0.25">
      <c r="A69" t="s">
        <v>75</v>
      </c>
      <c r="B69" t="s">
        <v>106</v>
      </c>
      <c r="C69">
        <v>37</v>
      </c>
      <c r="D69" t="s">
        <v>117</v>
      </c>
      <c r="E69" t="s">
        <v>156</v>
      </c>
      <c r="F69">
        <v>2</v>
      </c>
      <c r="G69" s="1">
        <v>275</v>
      </c>
      <c r="H69" s="11">
        <v>45672</v>
      </c>
      <c r="I69" s="11" t="s">
        <v>226</v>
      </c>
      <c r="J69" t="s">
        <v>180</v>
      </c>
      <c r="K69" s="1" t="s">
        <v>193</v>
      </c>
      <c r="L69">
        <v>550</v>
      </c>
      <c r="M69" t="s">
        <v>213</v>
      </c>
      <c r="N69">
        <f t="shared" si="1"/>
        <v>418</v>
      </c>
    </row>
    <row r="70" spans="1:14" x14ac:dyDescent="0.25">
      <c r="A70" t="s">
        <v>76</v>
      </c>
      <c r="B70" t="s">
        <v>107</v>
      </c>
      <c r="C70">
        <v>34</v>
      </c>
      <c r="D70" t="s">
        <v>117</v>
      </c>
      <c r="E70" t="s">
        <v>156</v>
      </c>
      <c r="F70">
        <v>2</v>
      </c>
      <c r="G70" s="1">
        <v>265</v>
      </c>
      <c r="H70" s="11">
        <v>45673</v>
      </c>
      <c r="I70" s="11" t="s">
        <v>226</v>
      </c>
      <c r="J70" t="s">
        <v>168</v>
      </c>
      <c r="K70" s="1" t="s">
        <v>190</v>
      </c>
      <c r="L70">
        <v>530</v>
      </c>
      <c r="M70" t="s">
        <v>212</v>
      </c>
      <c r="N70">
        <f t="shared" si="1"/>
        <v>402.8</v>
      </c>
    </row>
    <row r="71" spans="1:14" x14ac:dyDescent="0.25">
      <c r="A71" t="s">
        <v>77</v>
      </c>
      <c r="B71" t="s">
        <v>107</v>
      </c>
      <c r="C71">
        <v>48</v>
      </c>
      <c r="D71" t="s">
        <v>113</v>
      </c>
      <c r="E71" t="s">
        <v>136</v>
      </c>
      <c r="F71">
        <v>3</v>
      </c>
      <c r="G71" s="1">
        <v>320</v>
      </c>
      <c r="H71" s="11">
        <v>45674</v>
      </c>
      <c r="I71" s="11" t="s">
        <v>226</v>
      </c>
      <c r="J71" t="s">
        <v>174</v>
      </c>
      <c r="K71" s="1" t="s">
        <v>203</v>
      </c>
      <c r="L71">
        <v>960</v>
      </c>
      <c r="M71" t="s">
        <v>215</v>
      </c>
      <c r="N71">
        <f t="shared" si="1"/>
        <v>729.6</v>
      </c>
    </row>
    <row r="72" spans="1:14" x14ac:dyDescent="0.25">
      <c r="A72" t="s">
        <v>78</v>
      </c>
      <c r="B72" t="s">
        <v>107</v>
      </c>
      <c r="C72">
        <v>39</v>
      </c>
      <c r="D72" t="s">
        <v>115</v>
      </c>
      <c r="E72" t="s">
        <v>130</v>
      </c>
      <c r="F72">
        <v>4</v>
      </c>
      <c r="G72" s="1">
        <v>270</v>
      </c>
      <c r="H72" s="11">
        <v>45937</v>
      </c>
      <c r="I72" s="11" t="s">
        <v>253</v>
      </c>
      <c r="J72" t="s">
        <v>160</v>
      </c>
      <c r="K72" s="1" t="s">
        <v>190</v>
      </c>
      <c r="L72">
        <v>1080</v>
      </c>
      <c r="M72" t="s">
        <v>213</v>
      </c>
      <c r="N72">
        <f t="shared" si="1"/>
        <v>820.8</v>
      </c>
    </row>
    <row r="73" spans="1:14" x14ac:dyDescent="0.25">
      <c r="A73" t="s">
        <v>79</v>
      </c>
      <c r="B73" t="s">
        <v>106</v>
      </c>
      <c r="C73">
        <v>41</v>
      </c>
      <c r="D73" t="s">
        <v>112</v>
      </c>
      <c r="E73" t="s">
        <v>125</v>
      </c>
      <c r="F73">
        <v>4</v>
      </c>
      <c r="G73" s="1">
        <v>290</v>
      </c>
      <c r="H73" s="11">
        <v>45938</v>
      </c>
      <c r="I73" s="11" t="s">
        <v>253</v>
      </c>
      <c r="J73" t="s">
        <v>170</v>
      </c>
      <c r="K73" s="1" t="s">
        <v>199</v>
      </c>
      <c r="L73">
        <v>1160</v>
      </c>
      <c r="M73" t="s">
        <v>213</v>
      </c>
      <c r="N73">
        <f t="shared" si="1"/>
        <v>881.6</v>
      </c>
    </row>
    <row r="74" spans="1:14" x14ac:dyDescent="0.25">
      <c r="A74" t="s">
        <v>80</v>
      </c>
      <c r="B74" t="s">
        <v>106</v>
      </c>
      <c r="C74">
        <v>54</v>
      </c>
      <c r="D74" t="s">
        <v>111</v>
      </c>
      <c r="E74" t="s">
        <v>124</v>
      </c>
      <c r="F74">
        <v>1</v>
      </c>
      <c r="G74" s="1">
        <v>175</v>
      </c>
      <c r="H74" s="11">
        <v>45939</v>
      </c>
      <c r="I74" s="11" t="s">
        <v>253</v>
      </c>
      <c r="J74" t="s">
        <v>185</v>
      </c>
      <c r="K74" s="1" t="s">
        <v>209</v>
      </c>
      <c r="L74">
        <v>175</v>
      </c>
      <c r="M74" t="s">
        <v>215</v>
      </c>
      <c r="N74">
        <f t="shared" si="1"/>
        <v>133</v>
      </c>
    </row>
    <row r="75" spans="1:14" x14ac:dyDescent="0.25">
      <c r="A75" t="s">
        <v>61</v>
      </c>
      <c r="B75" t="s">
        <v>106</v>
      </c>
      <c r="C75">
        <v>36</v>
      </c>
      <c r="D75" t="s">
        <v>112</v>
      </c>
      <c r="E75" t="s">
        <v>139</v>
      </c>
      <c r="F75">
        <v>2</v>
      </c>
      <c r="G75" s="1">
        <v>175</v>
      </c>
      <c r="H75" s="11">
        <v>45940</v>
      </c>
      <c r="I75" s="11" t="s">
        <v>253</v>
      </c>
      <c r="J75" t="s">
        <v>185</v>
      </c>
      <c r="K75" s="1" t="s">
        <v>209</v>
      </c>
      <c r="L75">
        <v>350</v>
      </c>
      <c r="M75" t="s">
        <v>213</v>
      </c>
      <c r="N75">
        <f t="shared" si="1"/>
        <v>266</v>
      </c>
    </row>
    <row r="76" spans="1:14" x14ac:dyDescent="0.25">
      <c r="A76" t="s">
        <v>81</v>
      </c>
      <c r="B76" t="s">
        <v>106</v>
      </c>
      <c r="C76">
        <v>22</v>
      </c>
      <c r="D76" t="s">
        <v>112</v>
      </c>
      <c r="E76" t="s">
        <v>139</v>
      </c>
      <c r="F76">
        <v>4</v>
      </c>
      <c r="G76" s="1">
        <v>240</v>
      </c>
      <c r="H76" s="11">
        <v>45941</v>
      </c>
      <c r="I76" s="11" t="s">
        <v>253</v>
      </c>
      <c r="J76" t="s">
        <v>186</v>
      </c>
      <c r="K76" s="1" t="s">
        <v>196</v>
      </c>
      <c r="L76">
        <v>960</v>
      </c>
      <c r="M76" t="s">
        <v>214</v>
      </c>
      <c r="N76">
        <f t="shared" si="1"/>
        <v>729.6</v>
      </c>
    </row>
    <row r="77" spans="1:14" x14ac:dyDescent="0.25">
      <c r="A77" t="s">
        <v>82</v>
      </c>
      <c r="B77" t="s">
        <v>106</v>
      </c>
      <c r="C77">
        <v>43</v>
      </c>
      <c r="D77" t="s">
        <v>112</v>
      </c>
      <c r="E77" t="s">
        <v>125</v>
      </c>
      <c r="F77">
        <v>6</v>
      </c>
      <c r="G77" s="1">
        <v>270</v>
      </c>
      <c r="H77" s="11">
        <v>45942</v>
      </c>
      <c r="I77" s="11" t="s">
        <v>253</v>
      </c>
      <c r="J77" t="s">
        <v>160</v>
      </c>
      <c r="K77" s="1" t="s">
        <v>190</v>
      </c>
      <c r="L77">
        <v>1620</v>
      </c>
      <c r="M77" t="s">
        <v>213</v>
      </c>
      <c r="N77">
        <f t="shared" si="1"/>
        <v>1231.2</v>
      </c>
    </row>
    <row r="78" spans="1:14" x14ac:dyDescent="0.25">
      <c r="A78" t="s">
        <v>83</v>
      </c>
      <c r="B78" t="s">
        <v>106</v>
      </c>
      <c r="C78">
        <v>37</v>
      </c>
      <c r="D78" t="s">
        <v>110</v>
      </c>
      <c r="E78" t="s">
        <v>148</v>
      </c>
      <c r="F78">
        <v>3</v>
      </c>
      <c r="G78" s="1">
        <v>190</v>
      </c>
      <c r="H78" s="11">
        <v>45943</v>
      </c>
      <c r="I78" s="11" t="s">
        <v>253</v>
      </c>
      <c r="J78" t="s">
        <v>181</v>
      </c>
      <c r="K78" s="1" t="s">
        <v>207</v>
      </c>
      <c r="L78">
        <v>570</v>
      </c>
      <c r="M78" t="s">
        <v>213</v>
      </c>
      <c r="N78">
        <f t="shared" si="1"/>
        <v>433.20000000000005</v>
      </c>
    </row>
    <row r="79" spans="1:14" x14ac:dyDescent="0.25">
      <c r="A79" t="s">
        <v>84</v>
      </c>
      <c r="B79" t="s">
        <v>107</v>
      </c>
      <c r="C79">
        <v>41</v>
      </c>
      <c r="D79" t="s">
        <v>112</v>
      </c>
      <c r="E79" t="s">
        <v>128</v>
      </c>
      <c r="F79">
        <v>1</v>
      </c>
      <c r="G79" s="1">
        <v>240</v>
      </c>
      <c r="H79" s="11">
        <v>45694</v>
      </c>
      <c r="I79" s="11" t="s">
        <v>224</v>
      </c>
      <c r="J79" t="s">
        <v>186</v>
      </c>
      <c r="K79" s="1" t="s">
        <v>196</v>
      </c>
      <c r="L79">
        <v>240</v>
      </c>
      <c r="M79" t="s">
        <v>213</v>
      </c>
      <c r="N79">
        <f t="shared" si="1"/>
        <v>182.4</v>
      </c>
    </row>
    <row r="80" spans="1:14" x14ac:dyDescent="0.25">
      <c r="A80" t="s">
        <v>85</v>
      </c>
      <c r="B80" t="s">
        <v>106</v>
      </c>
      <c r="C80">
        <v>57</v>
      </c>
      <c r="D80" t="s">
        <v>109</v>
      </c>
      <c r="E80" t="s">
        <v>129</v>
      </c>
      <c r="F80">
        <v>6</v>
      </c>
      <c r="G80" s="1">
        <v>340</v>
      </c>
      <c r="H80" s="11">
        <v>45695</v>
      </c>
      <c r="I80" s="11" t="s">
        <v>224</v>
      </c>
      <c r="J80" t="s">
        <v>177</v>
      </c>
      <c r="K80" s="1" t="s">
        <v>200</v>
      </c>
      <c r="L80">
        <v>2040</v>
      </c>
      <c r="M80" t="s">
        <v>216</v>
      </c>
      <c r="N80">
        <f t="shared" si="1"/>
        <v>1550.4</v>
      </c>
    </row>
    <row r="81" spans="1:14" x14ac:dyDescent="0.25">
      <c r="A81" t="s">
        <v>86</v>
      </c>
      <c r="B81" t="s">
        <v>106</v>
      </c>
      <c r="C81">
        <v>41</v>
      </c>
      <c r="D81" t="s">
        <v>109</v>
      </c>
      <c r="E81" t="s">
        <v>129</v>
      </c>
      <c r="F81">
        <v>2</v>
      </c>
      <c r="G81" s="1">
        <v>195</v>
      </c>
      <c r="H81" s="11">
        <v>45696</v>
      </c>
      <c r="I81" s="11" t="s">
        <v>224</v>
      </c>
      <c r="J81" t="s">
        <v>175</v>
      </c>
      <c r="K81" s="1" t="s">
        <v>204</v>
      </c>
      <c r="L81">
        <v>390</v>
      </c>
      <c r="M81" t="s">
        <v>213</v>
      </c>
      <c r="N81">
        <f t="shared" si="1"/>
        <v>296.39999999999998</v>
      </c>
    </row>
    <row r="82" spans="1:14" x14ac:dyDescent="0.25">
      <c r="A82" t="s">
        <v>87</v>
      </c>
      <c r="B82" t="s">
        <v>107</v>
      </c>
      <c r="C82">
        <v>52</v>
      </c>
      <c r="D82" t="s">
        <v>119</v>
      </c>
      <c r="E82" t="s">
        <v>142</v>
      </c>
      <c r="F82">
        <v>3</v>
      </c>
      <c r="G82" s="1">
        <v>340</v>
      </c>
      <c r="H82" s="11">
        <v>45697</v>
      </c>
      <c r="I82" s="11" t="s">
        <v>224</v>
      </c>
      <c r="J82" t="s">
        <v>177</v>
      </c>
      <c r="K82" s="1" t="s">
        <v>200</v>
      </c>
      <c r="L82">
        <v>1020</v>
      </c>
      <c r="M82" t="s">
        <v>215</v>
      </c>
      <c r="N82">
        <f t="shared" si="1"/>
        <v>775.2</v>
      </c>
    </row>
    <row r="83" spans="1:14" x14ac:dyDescent="0.25">
      <c r="A83" t="s">
        <v>88</v>
      </c>
      <c r="B83" t="s">
        <v>106</v>
      </c>
      <c r="C83">
        <v>49</v>
      </c>
      <c r="D83" t="s">
        <v>116</v>
      </c>
      <c r="E83" t="s">
        <v>133</v>
      </c>
      <c r="F83">
        <v>2</v>
      </c>
      <c r="G83" s="1">
        <v>260</v>
      </c>
      <c r="H83" s="11">
        <v>45698</v>
      </c>
      <c r="I83" s="11" t="s">
        <v>224</v>
      </c>
      <c r="J83" t="s">
        <v>173</v>
      </c>
      <c r="K83" s="1" t="s">
        <v>202</v>
      </c>
      <c r="L83">
        <v>520</v>
      </c>
      <c r="M83" t="s">
        <v>215</v>
      </c>
      <c r="N83">
        <f t="shared" si="1"/>
        <v>395.2</v>
      </c>
    </row>
    <row r="84" spans="1:14" x14ac:dyDescent="0.25">
      <c r="A84" t="s">
        <v>89</v>
      </c>
      <c r="B84" t="s">
        <v>106</v>
      </c>
      <c r="C84">
        <v>45</v>
      </c>
      <c r="D84" t="s">
        <v>112</v>
      </c>
      <c r="E84" t="s">
        <v>131</v>
      </c>
      <c r="F84">
        <v>2</v>
      </c>
      <c r="G84" s="1">
        <v>300</v>
      </c>
      <c r="H84" s="11">
        <v>45699</v>
      </c>
      <c r="I84" s="11" t="s">
        <v>224</v>
      </c>
      <c r="J84" t="s">
        <v>187</v>
      </c>
      <c r="K84" s="1" t="s">
        <v>190</v>
      </c>
      <c r="L84">
        <v>600</v>
      </c>
      <c r="M84" t="s">
        <v>215</v>
      </c>
      <c r="N84">
        <f t="shared" si="1"/>
        <v>456</v>
      </c>
    </row>
    <row r="85" spans="1:14" x14ac:dyDescent="0.25">
      <c r="A85" t="s">
        <v>90</v>
      </c>
      <c r="B85" t="s">
        <v>106</v>
      </c>
      <c r="C85">
        <v>28</v>
      </c>
      <c r="D85" t="s">
        <v>114</v>
      </c>
      <c r="E85" t="s">
        <v>151</v>
      </c>
      <c r="F85">
        <v>6</v>
      </c>
      <c r="G85" s="1">
        <v>260</v>
      </c>
      <c r="H85" s="11">
        <v>45700</v>
      </c>
      <c r="I85" s="11" t="s">
        <v>224</v>
      </c>
      <c r="J85" t="s">
        <v>173</v>
      </c>
      <c r="K85" s="1" t="s">
        <v>202</v>
      </c>
      <c r="L85">
        <v>1560</v>
      </c>
      <c r="M85" t="s">
        <v>212</v>
      </c>
      <c r="N85">
        <f t="shared" si="1"/>
        <v>1185.5999999999999</v>
      </c>
    </row>
    <row r="86" spans="1:14" x14ac:dyDescent="0.25">
      <c r="A86" t="s">
        <v>91</v>
      </c>
      <c r="B86" t="s">
        <v>106</v>
      </c>
      <c r="C86">
        <v>37</v>
      </c>
      <c r="D86" t="s">
        <v>118</v>
      </c>
      <c r="E86" t="s">
        <v>157</v>
      </c>
      <c r="F86">
        <v>4</v>
      </c>
      <c r="G86" s="1">
        <v>185</v>
      </c>
      <c r="H86" s="11">
        <v>45701</v>
      </c>
      <c r="I86" s="11" t="s">
        <v>224</v>
      </c>
      <c r="J86" t="s">
        <v>165</v>
      </c>
      <c r="K86" s="1" t="s">
        <v>195</v>
      </c>
      <c r="L86">
        <v>740</v>
      </c>
      <c r="M86" t="s">
        <v>213</v>
      </c>
      <c r="N86">
        <f t="shared" si="1"/>
        <v>562.4</v>
      </c>
    </row>
    <row r="87" spans="1:14" x14ac:dyDescent="0.25">
      <c r="A87" t="s">
        <v>92</v>
      </c>
      <c r="B87" t="s">
        <v>106</v>
      </c>
      <c r="C87">
        <v>21</v>
      </c>
      <c r="D87" t="s">
        <v>110</v>
      </c>
      <c r="E87" t="s">
        <v>145</v>
      </c>
      <c r="F87">
        <v>4</v>
      </c>
      <c r="G87" s="1">
        <v>260</v>
      </c>
      <c r="H87" s="11">
        <v>45702</v>
      </c>
      <c r="I87" s="11" t="s">
        <v>224</v>
      </c>
      <c r="J87" t="s">
        <v>166</v>
      </c>
      <c r="K87" s="1" t="s">
        <v>196</v>
      </c>
      <c r="L87">
        <v>1040</v>
      </c>
      <c r="M87" t="s">
        <v>214</v>
      </c>
      <c r="N87">
        <f t="shared" si="1"/>
        <v>790.4</v>
      </c>
    </row>
    <row r="88" spans="1:14" x14ac:dyDescent="0.25">
      <c r="A88" t="s">
        <v>93</v>
      </c>
      <c r="B88" t="s">
        <v>107</v>
      </c>
      <c r="C88">
        <v>20</v>
      </c>
      <c r="D88" t="s">
        <v>119</v>
      </c>
      <c r="E88" t="s">
        <v>150</v>
      </c>
      <c r="F88">
        <v>2</v>
      </c>
      <c r="G88" s="1">
        <v>155</v>
      </c>
      <c r="H88" s="11">
        <v>45703</v>
      </c>
      <c r="I88" s="11" t="s">
        <v>224</v>
      </c>
      <c r="J88" t="s">
        <v>179</v>
      </c>
      <c r="K88" s="1" t="s">
        <v>206</v>
      </c>
      <c r="L88">
        <v>310</v>
      </c>
      <c r="M88" t="s">
        <v>214</v>
      </c>
      <c r="N88">
        <f t="shared" si="1"/>
        <v>235.60000000000002</v>
      </c>
    </row>
    <row r="89" spans="1:14" x14ac:dyDescent="0.25">
      <c r="A89" t="s">
        <v>94</v>
      </c>
      <c r="B89" t="s">
        <v>106</v>
      </c>
      <c r="C89">
        <v>50</v>
      </c>
      <c r="D89" t="s">
        <v>117</v>
      </c>
      <c r="E89" t="s">
        <v>156</v>
      </c>
      <c r="F89">
        <v>4</v>
      </c>
      <c r="G89" s="1">
        <v>190</v>
      </c>
      <c r="H89" s="11">
        <v>45704</v>
      </c>
      <c r="I89" s="11" t="s">
        <v>224</v>
      </c>
      <c r="J89" t="s">
        <v>181</v>
      </c>
      <c r="K89" s="1" t="s">
        <v>207</v>
      </c>
      <c r="L89">
        <v>760</v>
      </c>
      <c r="M89" t="s">
        <v>215</v>
      </c>
      <c r="N89">
        <f t="shared" si="1"/>
        <v>577.6</v>
      </c>
    </row>
    <row r="90" spans="1:14" x14ac:dyDescent="0.25">
      <c r="A90" t="s">
        <v>95</v>
      </c>
      <c r="B90" t="s">
        <v>106</v>
      </c>
      <c r="C90">
        <v>36</v>
      </c>
      <c r="D90" t="s">
        <v>119</v>
      </c>
      <c r="E90" t="s">
        <v>150</v>
      </c>
      <c r="F90">
        <v>4</v>
      </c>
      <c r="G90" s="1">
        <v>340</v>
      </c>
      <c r="H90" s="11">
        <v>45705</v>
      </c>
      <c r="I90" s="11" t="s">
        <v>224</v>
      </c>
      <c r="J90" t="s">
        <v>177</v>
      </c>
      <c r="K90" s="1" t="s">
        <v>200</v>
      </c>
      <c r="L90">
        <v>1360</v>
      </c>
      <c r="M90" t="s">
        <v>213</v>
      </c>
      <c r="N90">
        <f t="shared" si="1"/>
        <v>1033.5999999999999</v>
      </c>
    </row>
    <row r="91" spans="1:14" x14ac:dyDescent="0.25">
      <c r="A91" t="s">
        <v>96</v>
      </c>
      <c r="B91" t="s">
        <v>107</v>
      </c>
      <c r="C91">
        <v>30</v>
      </c>
      <c r="D91" t="s">
        <v>110</v>
      </c>
      <c r="E91" t="s">
        <v>148</v>
      </c>
      <c r="F91">
        <v>2</v>
      </c>
      <c r="G91" s="1">
        <v>175</v>
      </c>
      <c r="H91" s="11">
        <v>45706</v>
      </c>
      <c r="I91" s="11" t="s">
        <v>224</v>
      </c>
      <c r="J91" t="s">
        <v>185</v>
      </c>
      <c r="K91" s="1" t="s">
        <v>209</v>
      </c>
      <c r="L91">
        <v>350</v>
      </c>
      <c r="M91" t="s">
        <v>212</v>
      </c>
      <c r="N91">
        <f t="shared" si="1"/>
        <v>266</v>
      </c>
    </row>
    <row r="92" spans="1:14" x14ac:dyDescent="0.25">
      <c r="A92" t="s">
        <v>97</v>
      </c>
      <c r="B92" t="s">
        <v>107</v>
      </c>
      <c r="C92">
        <v>45</v>
      </c>
      <c r="D92" t="s">
        <v>113</v>
      </c>
      <c r="E92" t="s">
        <v>147</v>
      </c>
      <c r="F92">
        <v>5</v>
      </c>
      <c r="G92" s="1">
        <v>250</v>
      </c>
      <c r="H92" s="11">
        <v>45707</v>
      </c>
      <c r="I92" s="11" t="s">
        <v>224</v>
      </c>
      <c r="J92" t="s">
        <v>182</v>
      </c>
      <c r="K92" s="1" t="s">
        <v>198</v>
      </c>
      <c r="L92">
        <v>1250</v>
      </c>
      <c r="M92" t="s">
        <v>215</v>
      </c>
      <c r="N92">
        <f t="shared" si="1"/>
        <v>950</v>
      </c>
    </row>
    <row r="93" spans="1:14" x14ac:dyDescent="0.25">
      <c r="A93" t="s">
        <v>98</v>
      </c>
      <c r="B93" t="s">
        <v>107</v>
      </c>
      <c r="C93">
        <v>23</v>
      </c>
      <c r="D93" t="s">
        <v>112</v>
      </c>
      <c r="E93" t="s">
        <v>131</v>
      </c>
      <c r="F93">
        <v>2</v>
      </c>
      <c r="G93" s="1">
        <v>185</v>
      </c>
      <c r="H93" s="11">
        <v>45720</v>
      </c>
      <c r="I93" s="11" t="s">
        <v>225</v>
      </c>
      <c r="J93" t="s">
        <v>165</v>
      </c>
      <c r="K93" s="1" t="s">
        <v>195</v>
      </c>
      <c r="L93">
        <v>370</v>
      </c>
      <c r="M93" t="s">
        <v>214</v>
      </c>
      <c r="N93">
        <f t="shared" si="1"/>
        <v>281.2</v>
      </c>
    </row>
    <row r="94" spans="1:14" x14ac:dyDescent="0.25">
      <c r="A94" t="s">
        <v>99</v>
      </c>
      <c r="B94" t="s">
        <v>107</v>
      </c>
      <c r="C94">
        <v>42</v>
      </c>
      <c r="D94" t="s">
        <v>112</v>
      </c>
      <c r="E94" t="s">
        <v>139</v>
      </c>
      <c r="F94">
        <v>6</v>
      </c>
      <c r="G94" s="1">
        <v>265</v>
      </c>
      <c r="H94" s="11">
        <v>45721</v>
      </c>
      <c r="I94" s="11" t="s">
        <v>225</v>
      </c>
      <c r="J94" t="s">
        <v>188</v>
      </c>
      <c r="K94" s="1" t="s">
        <v>210</v>
      </c>
      <c r="L94">
        <v>1590</v>
      </c>
      <c r="M94" t="s">
        <v>213</v>
      </c>
      <c r="N94">
        <f t="shared" si="1"/>
        <v>1208.4000000000001</v>
      </c>
    </row>
    <row r="95" spans="1:14" x14ac:dyDescent="0.25">
      <c r="A95" t="s">
        <v>100</v>
      </c>
      <c r="B95" t="s">
        <v>106</v>
      </c>
      <c r="C95">
        <v>34</v>
      </c>
      <c r="D95" t="s">
        <v>110</v>
      </c>
      <c r="E95" t="s">
        <v>158</v>
      </c>
      <c r="F95">
        <v>5</v>
      </c>
      <c r="G95" s="1">
        <v>305</v>
      </c>
      <c r="H95" s="11">
        <v>45722</v>
      </c>
      <c r="I95" s="11" t="s">
        <v>225</v>
      </c>
      <c r="J95" t="s">
        <v>171</v>
      </c>
      <c r="K95" s="1" t="s">
        <v>200</v>
      </c>
      <c r="L95">
        <v>1525</v>
      </c>
      <c r="M95" t="s">
        <v>212</v>
      </c>
      <c r="N95">
        <f t="shared" si="1"/>
        <v>1159</v>
      </c>
    </row>
    <row r="96" spans="1:14" x14ac:dyDescent="0.25">
      <c r="A96" t="s">
        <v>101</v>
      </c>
      <c r="B96" t="s">
        <v>106</v>
      </c>
      <c r="C96">
        <v>33</v>
      </c>
      <c r="D96" t="s">
        <v>108</v>
      </c>
      <c r="E96" t="s">
        <v>140</v>
      </c>
      <c r="F96">
        <v>1</v>
      </c>
      <c r="G96" s="1">
        <v>180</v>
      </c>
      <c r="H96" s="11">
        <v>45723</v>
      </c>
      <c r="I96" s="11" t="s">
        <v>225</v>
      </c>
      <c r="J96" t="s">
        <v>189</v>
      </c>
      <c r="K96" s="1" t="s">
        <v>211</v>
      </c>
      <c r="L96">
        <v>180</v>
      </c>
      <c r="M96" t="s">
        <v>212</v>
      </c>
      <c r="N96">
        <f t="shared" si="1"/>
        <v>136.80000000000001</v>
      </c>
    </row>
    <row r="97" spans="1:14" x14ac:dyDescent="0.25">
      <c r="A97" t="s">
        <v>102</v>
      </c>
      <c r="B97" t="s">
        <v>107</v>
      </c>
      <c r="C97">
        <v>41</v>
      </c>
      <c r="D97" t="s">
        <v>116</v>
      </c>
      <c r="E97" t="s">
        <v>152</v>
      </c>
      <c r="F97">
        <v>6</v>
      </c>
      <c r="G97" s="1">
        <v>320</v>
      </c>
      <c r="H97" s="11">
        <v>45724</v>
      </c>
      <c r="I97" s="11" t="s">
        <v>225</v>
      </c>
      <c r="J97" t="s">
        <v>174</v>
      </c>
      <c r="K97" s="1" t="s">
        <v>203</v>
      </c>
      <c r="L97">
        <v>1920</v>
      </c>
      <c r="M97" t="s">
        <v>213</v>
      </c>
      <c r="N97">
        <f t="shared" si="1"/>
        <v>1459.2</v>
      </c>
    </row>
    <row r="98" spans="1:14" x14ac:dyDescent="0.25">
      <c r="A98" t="s">
        <v>103</v>
      </c>
      <c r="B98" t="s">
        <v>107</v>
      </c>
      <c r="C98">
        <v>39</v>
      </c>
      <c r="D98" t="s">
        <v>109</v>
      </c>
      <c r="E98" t="s">
        <v>143</v>
      </c>
      <c r="F98">
        <v>3</v>
      </c>
      <c r="G98" s="1">
        <v>310</v>
      </c>
      <c r="H98" s="11">
        <v>45725</v>
      </c>
      <c r="I98" s="11" t="s">
        <v>225</v>
      </c>
      <c r="J98" t="s">
        <v>167</v>
      </c>
      <c r="K98" s="1" t="s">
        <v>197</v>
      </c>
      <c r="L98">
        <v>930</v>
      </c>
      <c r="M98" t="s">
        <v>213</v>
      </c>
      <c r="N98">
        <f t="shared" si="1"/>
        <v>706.8</v>
      </c>
    </row>
    <row r="99" spans="1:14" x14ac:dyDescent="0.25">
      <c r="A99" t="s">
        <v>104</v>
      </c>
      <c r="B99" t="s">
        <v>107</v>
      </c>
      <c r="C99">
        <v>37</v>
      </c>
      <c r="D99" t="s">
        <v>118</v>
      </c>
      <c r="E99" t="s">
        <v>155</v>
      </c>
      <c r="F99">
        <v>3</v>
      </c>
      <c r="G99" s="1">
        <v>185</v>
      </c>
      <c r="H99" s="11">
        <v>45726</v>
      </c>
      <c r="I99" s="11" t="s">
        <v>225</v>
      </c>
      <c r="J99" t="s">
        <v>165</v>
      </c>
      <c r="K99" s="1" t="s">
        <v>195</v>
      </c>
      <c r="L99">
        <v>555</v>
      </c>
      <c r="M99" t="s">
        <v>213</v>
      </c>
      <c r="N99">
        <f t="shared" si="1"/>
        <v>421.8</v>
      </c>
    </row>
    <row r="100" spans="1:14" x14ac:dyDescent="0.25">
      <c r="A100" t="s">
        <v>33</v>
      </c>
      <c r="B100" t="s">
        <v>107</v>
      </c>
      <c r="C100">
        <v>42</v>
      </c>
      <c r="D100" t="s">
        <v>119</v>
      </c>
      <c r="E100" t="s">
        <v>159</v>
      </c>
      <c r="F100">
        <v>2</v>
      </c>
      <c r="G100" s="1">
        <v>180</v>
      </c>
      <c r="H100" s="11">
        <v>45727</v>
      </c>
      <c r="I100" s="11" t="s">
        <v>225</v>
      </c>
      <c r="J100" t="s">
        <v>189</v>
      </c>
      <c r="K100" s="1" t="s">
        <v>211</v>
      </c>
      <c r="L100">
        <v>360</v>
      </c>
      <c r="M100" t="s">
        <v>213</v>
      </c>
      <c r="N100">
        <f t="shared" si="1"/>
        <v>273.60000000000002</v>
      </c>
    </row>
    <row r="101" spans="1:14" x14ac:dyDescent="0.25">
      <c r="A101" t="s">
        <v>105</v>
      </c>
      <c r="B101" t="s">
        <v>106</v>
      </c>
      <c r="C101">
        <v>34</v>
      </c>
      <c r="D101" t="s">
        <v>119</v>
      </c>
      <c r="E101" t="s">
        <v>154</v>
      </c>
      <c r="F101">
        <v>1</v>
      </c>
      <c r="G101" s="1">
        <v>240</v>
      </c>
      <c r="H101" s="11">
        <v>45728</v>
      </c>
      <c r="I101" s="11" t="s">
        <v>225</v>
      </c>
      <c r="J101" t="s">
        <v>186</v>
      </c>
      <c r="K101" s="1" t="s">
        <v>196</v>
      </c>
      <c r="L101">
        <v>240</v>
      </c>
      <c r="M101" t="s">
        <v>212</v>
      </c>
      <c r="N101">
        <f t="shared" si="1"/>
        <v>182.4</v>
      </c>
    </row>
  </sheetData>
  <autoFilter ref="A1:M101" xr:uid="{00000000-0001-0000-0000-000000000000}"/>
  <phoneticPr fontId="6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5"/>
  <sheetViews>
    <sheetView zoomScale="70" zoomScaleNormal="70" workbookViewId="0">
      <selection activeCell="E39" sqref="E39"/>
    </sheetView>
  </sheetViews>
  <sheetFormatPr defaultRowHeight="15" x14ac:dyDescent="0.25"/>
  <cols>
    <col min="1" max="1" width="30.7109375" customWidth="1"/>
    <col min="2" max="4" width="15.7109375" customWidth="1"/>
    <col min="5" max="5" width="30.7109375" customWidth="1"/>
    <col min="6" max="6" width="15.28515625" customWidth="1"/>
    <col min="8" max="8" width="24.5703125" customWidth="1"/>
    <col min="9" max="9" width="20.7109375" customWidth="1"/>
  </cols>
  <sheetData>
    <row r="1" spans="1:9" ht="26.25" x14ac:dyDescent="0.4">
      <c r="A1" s="6" t="s">
        <v>217</v>
      </c>
      <c r="B1" s="6"/>
      <c r="C1" s="6"/>
      <c r="D1" s="6"/>
      <c r="H1" s="3" t="s">
        <v>218</v>
      </c>
    </row>
    <row r="2" spans="1:9" x14ac:dyDescent="0.25">
      <c r="A2" s="2" t="s">
        <v>1</v>
      </c>
      <c r="B2" s="2" t="s">
        <v>5</v>
      </c>
      <c r="E2" s="2" t="s">
        <v>10</v>
      </c>
      <c r="F2" s="2" t="s">
        <v>5</v>
      </c>
      <c r="H2" s="4" t="s">
        <v>219</v>
      </c>
      <c r="I2" s="1">
        <v>84920</v>
      </c>
    </row>
    <row r="3" spans="1:9" x14ac:dyDescent="0.25">
      <c r="A3" t="s">
        <v>106</v>
      </c>
      <c r="B3">
        <v>194</v>
      </c>
      <c r="E3" t="s">
        <v>214</v>
      </c>
      <c r="F3">
        <v>36</v>
      </c>
      <c r="H3" s="4" t="s">
        <v>220</v>
      </c>
      <c r="I3" s="5">
        <v>334</v>
      </c>
    </row>
    <row r="4" spans="1:9" x14ac:dyDescent="0.25">
      <c r="A4" t="s">
        <v>107</v>
      </c>
      <c r="B4">
        <v>140</v>
      </c>
      <c r="E4" t="s">
        <v>212</v>
      </c>
      <c r="F4">
        <v>104</v>
      </c>
      <c r="H4" s="4" t="s">
        <v>221</v>
      </c>
      <c r="I4" s="5">
        <v>100</v>
      </c>
    </row>
    <row r="5" spans="1:9" x14ac:dyDescent="0.25">
      <c r="E5" t="s">
        <v>213</v>
      </c>
      <c r="F5">
        <v>130</v>
      </c>
    </row>
    <row r="6" spans="1:9" x14ac:dyDescent="0.25">
      <c r="E6" t="s">
        <v>215</v>
      </c>
      <c r="F6">
        <v>51</v>
      </c>
    </row>
    <row r="7" spans="1:9" x14ac:dyDescent="0.25">
      <c r="E7" t="s">
        <v>216</v>
      </c>
      <c r="F7">
        <v>13</v>
      </c>
    </row>
    <row r="11" spans="1:9" x14ac:dyDescent="0.25">
      <c r="A11" s="2" t="s">
        <v>8</v>
      </c>
      <c r="B11" s="2" t="s">
        <v>9</v>
      </c>
      <c r="E11" s="2" t="s">
        <v>7</v>
      </c>
      <c r="F11" s="2" t="s">
        <v>5</v>
      </c>
    </row>
    <row r="12" spans="1:9" x14ac:dyDescent="0.25">
      <c r="A12" t="s">
        <v>200</v>
      </c>
      <c r="B12">
        <v>18010</v>
      </c>
      <c r="E12" t="s">
        <v>177</v>
      </c>
      <c r="F12">
        <v>28</v>
      </c>
    </row>
    <row r="13" spans="1:9" x14ac:dyDescent="0.25">
      <c r="A13" t="s">
        <v>190</v>
      </c>
      <c r="B13">
        <v>10785</v>
      </c>
      <c r="E13" t="s">
        <v>170</v>
      </c>
      <c r="F13">
        <v>27</v>
      </c>
    </row>
    <row r="14" spans="1:9" x14ac:dyDescent="0.25">
      <c r="A14" t="s">
        <v>199</v>
      </c>
      <c r="B14">
        <v>7830</v>
      </c>
      <c r="E14" t="s">
        <v>160</v>
      </c>
      <c r="F14">
        <v>24</v>
      </c>
    </row>
    <row r="15" spans="1:9" x14ac:dyDescent="0.25">
      <c r="A15" t="s">
        <v>194</v>
      </c>
      <c r="B15">
        <v>5610</v>
      </c>
      <c r="E15" t="s">
        <v>175</v>
      </c>
      <c r="F15">
        <v>21</v>
      </c>
    </row>
    <row r="16" spans="1:9" x14ac:dyDescent="0.25">
      <c r="A16" t="s">
        <v>203</v>
      </c>
      <c r="B16">
        <v>5440</v>
      </c>
      <c r="E16" t="s">
        <v>181</v>
      </c>
      <c r="F16">
        <v>21</v>
      </c>
    </row>
    <row r="17" spans="1:6" x14ac:dyDescent="0.25">
      <c r="A17" t="s">
        <v>204</v>
      </c>
      <c r="B17">
        <v>4095</v>
      </c>
      <c r="E17" t="s">
        <v>179</v>
      </c>
      <c r="F17">
        <v>19</v>
      </c>
    </row>
    <row r="18" spans="1:6" x14ac:dyDescent="0.25">
      <c r="A18" t="s">
        <v>207</v>
      </c>
      <c r="B18">
        <v>3990</v>
      </c>
      <c r="E18" t="s">
        <v>171</v>
      </c>
      <c r="F18">
        <v>18</v>
      </c>
    </row>
    <row r="19" spans="1:6" x14ac:dyDescent="0.25">
      <c r="A19" t="s">
        <v>198</v>
      </c>
      <c r="B19">
        <v>3970</v>
      </c>
      <c r="E19" t="s">
        <v>174</v>
      </c>
      <c r="F19">
        <v>17</v>
      </c>
    </row>
    <row r="20" spans="1:6" x14ac:dyDescent="0.25">
      <c r="A20" t="s">
        <v>202</v>
      </c>
      <c r="B20">
        <v>3120</v>
      </c>
      <c r="E20" t="s">
        <v>164</v>
      </c>
      <c r="F20">
        <v>17</v>
      </c>
    </row>
    <row r="21" spans="1:6" x14ac:dyDescent="0.25">
      <c r="A21" t="s">
        <v>193</v>
      </c>
      <c r="B21">
        <v>3035</v>
      </c>
      <c r="E21" t="s">
        <v>165</v>
      </c>
      <c r="F21">
        <v>15</v>
      </c>
    </row>
    <row r="23" spans="1:6" x14ac:dyDescent="0.25">
      <c r="A23" s="2" t="s">
        <v>3</v>
      </c>
      <c r="B23" s="2" t="s">
        <v>9</v>
      </c>
      <c r="E23" s="2" t="s">
        <v>3</v>
      </c>
      <c r="F23" s="2" t="s">
        <v>9</v>
      </c>
    </row>
    <row r="24" spans="1:6" x14ac:dyDescent="0.25">
      <c r="A24" t="s">
        <v>112</v>
      </c>
      <c r="B24">
        <v>14660</v>
      </c>
      <c r="E24" t="s">
        <v>112</v>
      </c>
      <c r="F24">
        <v>14660</v>
      </c>
    </row>
    <row r="25" spans="1:6" x14ac:dyDescent="0.25">
      <c r="A25" t="s">
        <v>113</v>
      </c>
      <c r="B25">
        <v>9395</v>
      </c>
      <c r="E25" t="s">
        <v>113</v>
      </c>
      <c r="F25">
        <v>9395</v>
      </c>
    </row>
    <row r="26" spans="1:6" x14ac:dyDescent="0.25">
      <c r="A26" t="s">
        <v>108</v>
      </c>
      <c r="B26">
        <v>8710</v>
      </c>
      <c r="E26" t="s">
        <v>108</v>
      </c>
      <c r="F26">
        <v>8710</v>
      </c>
    </row>
    <row r="27" spans="1:6" x14ac:dyDescent="0.25">
      <c r="A27" t="s">
        <v>119</v>
      </c>
      <c r="B27">
        <v>7500</v>
      </c>
      <c r="E27" t="s">
        <v>119</v>
      </c>
      <c r="F27">
        <v>7500</v>
      </c>
    </row>
    <row r="28" spans="1:6" x14ac:dyDescent="0.25">
      <c r="A28" t="s">
        <v>109</v>
      </c>
      <c r="B28">
        <v>7305</v>
      </c>
      <c r="E28" t="s">
        <v>109</v>
      </c>
      <c r="F28">
        <v>7305</v>
      </c>
    </row>
    <row r="29" spans="1:6" x14ac:dyDescent="0.25">
      <c r="A29" t="s">
        <v>117</v>
      </c>
      <c r="B29">
        <v>7160</v>
      </c>
      <c r="E29" t="s">
        <v>117</v>
      </c>
      <c r="F29">
        <v>7160</v>
      </c>
    </row>
    <row r="30" spans="1:6" x14ac:dyDescent="0.25">
      <c r="A30" t="s">
        <v>110</v>
      </c>
      <c r="B30">
        <v>6165</v>
      </c>
      <c r="E30" t="s">
        <v>110</v>
      </c>
      <c r="F30">
        <v>6165</v>
      </c>
    </row>
    <row r="31" spans="1:6" x14ac:dyDescent="0.25">
      <c r="A31" t="s">
        <v>116</v>
      </c>
      <c r="B31">
        <v>6110</v>
      </c>
      <c r="E31" t="s">
        <v>116</v>
      </c>
      <c r="F31">
        <v>6110</v>
      </c>
    </row>
    <row r="32" spans="1:6" x14ac:dyDescent="0.25">
      <c r="A32" t="s">
        <v>111</v>
      </c>
      <c r="B32">
        <v>5940</v>
      </c>
      <c r="E32" t="s">
        <v>111</v>
      </c>
      <c r="F32">
        <v>5940</v>
      </c>
    </row>
    <row r="33" spans="1:6" x14ac:dyDescent="0.25">
      <c r="A33" t="s">
        <v>115</v>
      </c>
      <c r="B33">
        <v>4585</v>
      </c>
      <c r="E33" t="s">
        <v>115</v>
      </c>
      <c r="F33">
        <v>4585</v>
      </c>
    </row>
    <row r="34" spans="1:6" x14ac:dyDescent="0.25">
      <c r="A34" t="s">
        <v>114</v>
      </c>
      <c r="B34">
        <v>4305</v>
      </c>
    </row>
    <row r="35" spans="1:6" x14ac:dyDescent="0.25">
      <c r="A35" t="s">
        <v>118</v>
      </c>
      <c r="B35">
        <v>3085</v>
      </c>
    </row>
  </sheetData>
  <mergeCells count="1">
    <mergeCell ref="A1:D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E086A-7727-4985-BF3F-2F2FB2D7A3C8}">
  <sheetPr>
    <tabColor theme="5" tint="-0.499984740745262"/>
  </sheetPr>
  <dimension ref="A1:AE42"/>
  <sheetViews>
    <sheetView showGridLines="0" showRowColHeaders="0" tabSelected="1" zoomScale="70" zoomScaleNormal="70" workbookViewId="0">
      <selection activeCell="AD15" sqref="AD15"/>
    </sheetView>
  </sheetViews>
  <sheetFormatPr defaultRowHeight="15" x14ac:dyDescent="0.25"/>
  <sheetData>
    <row r="1" spans="1:31" x14ac:dyDescent="0.25">
      <c r="A1" s="8"/>
      <c r="B1" s="8"/>
      <c r="C1" s="8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</row>
    <row r="2" spans="1:31" x14ac:dyDescent="0.25">
      <c r="A2" s="8"/>
      <c r="B2" s="8"/>
      <c r="C2" s="8"/>
      <c r="D2" s="7"/>
      <c r="E2" s="15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</row>
    <row r="3" spans="1:31" x14ac:dyDescent="0.25">
      <c r="A3" s="8"/>
      <c r="B3" s="8"/>
      <c r="C3" s="8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</row>
    <row r="4" spans="1:31" x14ac:dyDescent="0.25">
      <c r="A4" s="8"/>
      <c r="B4" s="8"/>
      <c r="C4" s="8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</row>
    <row r="5" spans="1:31" x14ac:dyDescent="0.25">
      <c r="A5" s="8"/>
      <c r="B5" s="8"/>
      <c r="C5" s="8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</row>
    <row r="6" spans="1:31" x14ac:dyDescent="0.25">
      <c r="A6" s="8"/>
      <c r="B6" s="8"/>
      <c r="C6" s="8"/>
      <c r="D6" s="7"/>
      <c r="E6" s="7"/>
      <c r="F6" s="7"/>
      <c r="G6" s="7"/>
      <c r="H6" s="7"/>
      <c r="I6" s="9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</row>
    <row r="7" spans="1:31" x14ac:dyDescent="0.25">
      <c r="A7" s="8"/>
      <c r="B7" s="8"/>
      <c r="C7" s="8"/>
      <c r="D7" s="7"/>
      <c r="E7" s="7"/>
      <c r="F7" s="7"/>
      <c r="G7" s="7"/>
      <c r="H7" s="7"/>
      <c r="I7" s="9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</row>
    <row r="8" spans="1:31" x14ac:dyDescent="0.25">
      <c r="A8" s="8"/>
      <c r="B8" s="8"/>
      <c r="C8" s="8"/>
      <c r="D8" s="7"/>
      <c r="E8" s="7"/>
      <c r="F8" s="7"/>
      <c r="G8" s="7"/>
      <c r="H8" s="7"/>
      <c r="I8" s="9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</row>
    <row r="9" spans="1:31" x14ac:dyDescent="0.25">
      <c r="A9" s="8"/>
      <c r="B9" s="8"/>
      <c r="C9" s="8"/>
      <c r="D9" s="7"/>
      <c r="E9" s="7"/>
      <c r="F9" s="7"/>
      <c r="G9" s="7"/>
      <c r="H9" s="7"/>
      <c r="I9" s="9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</row>
    <row r="10" spans="1:31" x14ac:dyDescent="0.25">
      <c r="A10" s="16"/>
      <c r="B10" s="16"/>
      <c r="C10" s="16"/>
      <c r="D10" s="7"/>
      <c r="E10" s="7"/>
      <c r="F10" s="7"/>
      <c r="G10" s="7"/>
      <c r="H10" s="7"/>
      <c r="I10" s="9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</row>
    <row r="11" spans="1:31" x14ac:dyDescent="0.25">
      <c r="A11" s="8"/>
      <c r="B11" s="8"/>
      <c r="C11" s="8"/>
      <c r="D11" s="7"/>
      <c r="E11" s="7"/>
      <c r="F11" s="7"/>
      <c r="G11" s="7"/>
      <c r="H11" s="7"/>
      <c r="I11" s="9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</row>
    <row r="12" spans="1:31" x14ac:dyDescent="0.25">
      <c r="A12" s="8"/>
      <c r="B12" s="8"/>
      <c r="C12" s="8"/>
      <c r="D12" s="7"/>
      <c r="E12" s="7"/>
      <c r="F12" s="7"/>
      <c r="G12" s="7"/>
      <c r="H12" s="7"/>
      <c r="I12" s="9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</row>
    <row r="13" spans="1:31" x14ac:dyDescent="0.25">
      <c r="A13" s="8"/>
      <c r="B13" s="8"/>
      <c r="C13" s="8"/>
      <c r="D13" s="7"/>
      <c r="E13" s="7"/>
      <c r="F13" s="7"/>
      <c r="G13" s="7"/>
      <c r="H13" s="7"/>
      <c r="I13" s="9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</row>
    <row r="14" spans="1:31" x14ac:dyDescent="0.25">
      <c r="A14" s="8"/>
      <c r="B14" s="8"/>
      <c r="C14" s="8"/>
      <c r="D14" s="7"/>
      <c r="E14" s="7"/>
      <c r="F14" s="7"/>
      <c r="G14" s="7"/>
      <c r="H14" s="7"/>
      <c r="I14" s="9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</row>
    <row r="15" spans="1:31" x14ac:dyDescent="0.25">
      <c r="A15" s="8"/>
      <c r="B15" s="8"/>
      <c r="C15" s="8"/>
      <c r="D15" s="7"/>
      <c r="E15" s="7"/>
      <c r="F15" s="7"/>
      <c r="G15" s="7"/>
      <c r="H15" s="7"/>
      <c r="I15" s="9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</row>
    <row r="16" spans="1:31" x14ac:dyDescent="0.25">
      <c r="A16" s="8"/>
      <c r="B16" s="8"/>
      <c r="C16" s="8"/>
      <c r="D16" s="7"/>
      <c r="E16" s="7"/>
      <c r="F16" s="7"/>
      <c r="G16" s="7"/>
      <c r="H16" s="7"/>
      <c r="I16" s="9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</row>
    <row r="17" spans="1:31" x14ac:dyDescent="0.25">
      <c r="A17" s="8"/>
      <c r="B17" s="8"/>
      <c r="C17" s="8"/>
      <c r="D17" s="7"/>
      <c r="E17" s="7"/>
      <c r="F17" s="7"/>
      <c r="G17" s="7"/>
      <c r="H17" s="7"/>
      <c r="I17" s="9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</row>
    <row r="18" spans="1:31" x14ac:dyDescent="0.25">
      <c r="A18" s="8"/>
      <c r="B18" s="8"/>
      <c r="C18" s="8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</row>
    <row r="19" spans="1:31" x14ac:dyDescent="0.25">
      <c r="A19" s="8"/>
      <c r="B19" s="8"/>
      <c r="C19" s="8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</row>
    <row r="20" spans="1:31" x14ac:dyDescent="0.25">
      <c r="A20" s="8"/>
      <c r="B20" s="8"/>
      <c r="C20" s="8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</row>
    <row r="21" spans="1:31" x14ac:dyDescent="0.25">
      <c r="A21" s="8"/>
      <c r="B21" s="8"/>
      <c r="C21" s="8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</row>
    <row r="22" spans="1:31" x14ac:dyDescent="0.25">
      <c r="A22" s="8"/>
      <c r="B22" s="8"/>
      <c r="C22" s="8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</row>
    <row r="23" spans="1:31" x14ac:dyDescent="0.25">
      <c r="A23" s="8"/>
      <c r="B23" s="8"/>
      <c r="C23" s="8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</row>
    <row r="24" spans="1:31" x14ac:dyDescent="0.25">
      <c r="A24" s="8"/>
      <c r="B24" s="8"/>
      <c r="C24" s="8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</row>
    <row r="25" spans="1:31" x14ac:dyDescent="0.25">
      <c r="A25" s="8"/>
      <c r="B25" s="8"/>
      <c r="C25" s="8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</row>
    <row r="26" spans="1:31" x14ac:dyDescent="0.25">
      <c r="A26" s="8"/>
      <c r="B26" s="8"/>
      <c r="C26" s="8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</row>
    <row r="27" spans="1:31" x14ac:dyDescent="0.25">
      <c r="A27" s="8"/>
      <c r="B27" s="8"/>
      <c r="C27" s="8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</row>
    <row r="28" spans="1:31" x14ac:dyDescent="0.25">
      <c r="A28" s="8"/>
      <c r="B28" s="8"/>
      <c r="C28" s="8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</row>
    <row r="29" spans="1:31" x14ac:dyDescent="0.25">
      <c r="A29" s="8"/>
      <c r="B29" s="8"/>
      <c r="C29" s="8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</row>
    <row r="30" spans="1:31" x14ac:dyDescent="0.25">
      <c r="A30" s="8"/>
      <c r="B30" s="8"/>
      <c r="C30" s="8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</row>
    <row r="31" spans="1:31" x14ac:dyDescent="0.25">
      <c r="A31" s="8"/>
      <c r="B31" s="8"/>
      <c r="C31" s="8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</row>
    <row r="32" spans="1:31" x14ac:dyDescent="0.25">
      <c r="A32" s="8"/>
      <c r="B32" s="8"/>
      <c r="C32" s="8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</row>
    <row r="33" spans="1:31" x14ac:dyDescent="0.25">
      <c r="A33" s="8"/>
      <c r="B33" s="8"/>
      <c r="C33" s="8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</row>
    <row r="34" spans="1:31" x14ac:dyDescent="0.25">
      <c r="A34" s="8"/>
      <c r="B34" s="8"/>
      <c r="C34" s="8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</row>
    <row r="35" spans="1:31" x14ac:dyDescent="0.25">
      <c r="A35" s="8"/>
      <c r="B35" s="8"/>
      <c r="C35" s="8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</row>
    <row r="36" spans="1:31" x14ac:dyDescent="0.25">
      <c r="A36" s="8"/>
      <c r="B36" s="8"/>
      <c r="C36" s="8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</row>
    <row r="37" spans="1:31" x14ac:dyDescent="0.25">
      <c r="A37" s="8"/>
      <c r="B37" s="8"/>
      <c r="C37" s="8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</row>
    <row r="38" spans="1:31" x14ac:dyDescent="0.25">
      <c r="A38" s="8"/>
      <c r="B38" s="8"/>
      <c r="C38" s="8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</row>
    <row r="39" spans="1:31" x14ac:dyDescent="0.25">
      <c r="A39" s="8"/>
      <c r="B39" s="8"/>
      <c r="C39" s="8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</row>
    <row r="40" spans="1:31" x14ac:dyDescent="0.25">
      <c r="A40" s="8"/>
      <c r="B40" s="8"/>
      <c r="C40" s="8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</row>
    <row r="41" spans="1:31" x14ac:dyDescent="0.25">
      <c r="A41" s="8"/>
      <c r="B41" s="8"/>
      <c r="C41" s="8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</row>
    <row r="42" spans="1:31" x14ac:dyDescent="0.25">
      <c r="A42" s="8"/>
      <c r="B42" s="8"/>
      <c r="C42" s="8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</row>
  </sheetData>
  <pageMargins left="0.511811024" right="0.511811024" top="0.78740157499999996" bottom="0.78740157499999996" header="0.31496062000000002" footer="0.31496062000000002"/>
  <pageSetup paperSize="9" scale="32"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Assets</vt:lpstr>
      <vt:lpstr>calc2</vt:lpstr>
      <vt:lpstr>TBs</vt:lpstr>
      <vt:lpstr>Base de Dados</vt:lpstr>
      <vt:lpstr>CALC1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Patricia Valeria</cp:lastModifiedBy>
  <dcterms:created xsi:type="dcterms:W3CDTF">2025-10-18T01:38:28Z</dcterms:created>
  <dcterms:modified xsi:type="dcterms:W3CDTF">2025-10-18T21:53:36Z</dcterms:modified>
</cp:coreProperties>
</file>